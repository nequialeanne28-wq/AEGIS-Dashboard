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DSTF\REVISIONS FOR FINAL PAPER\AEGIS\"/>
    </mc:Choice>
  </mc:AlternateContent>
  <xr:revisionPtr revIDLastSave="0" documentId="13_ncr:1_{1A8BE229-16AE-4F38-A8ED-C86402BDDA28}" xr6:coauthVersionLast="47" xr6:coauthVersionMax="47" xr10:uidLastSave="{00000000-0000-0000-0000-000000000000}"/>
  <bookViews>
    <workbookView xWindow="-110" yWindow="-110" windowWidth="19420" windowHeight="10300" firstSheet="1" activeTab="4" xr2:uid="{17A15368-9D16-4466-86B8-F409FF6A5E45}"/>
  </bookViews>
  <sheets>
    <sheet name="Raw Data" sheetId="1" r:id="rId1"/>
    <sheet name="Barangay Sumamry" sheetId="2" r:id="rId2"/>
    <sheet name="Normalized Indicators" sheetId="4" r:id="rId3"/>
    <sheet name="Primary IPI" sheetId="3" r:id="rId4"/>
    <sheet name="Frequency Only" sheetId="5" r:id="rId5"/>
    <sheet name="Weight Sensitivity" sheetId="6" r:id="rId6"/>
    <sheet name="Ablation Analysis" sheetId="7" r:id="rId7"/>
    <sheet name="Area-Ratio Sensitivity" sheetId="8" r:id="rId8"/>
    <sheet name="Overall Robustness " sheetId="9" r:id="rId9"/>
    <sheet name="Instrument Validation" sheetId="10" r:id="rId10"/>
    <sheet name="Reliability" sheetId="15" r:id="rId11"/>
    <sheet name="Individual Validation (IPI)" sheetId="11" r:id="rId12"/>
    <sheet name="Acceptability of AEGIS" sheetId="12" r:id="rId13"/>
    <sheet name="Overall Mean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B38" i="15"/>
  <c r="AF33" i="15"/>
  <c r="AF4" i="15"/>
  <c r="AF5" i="15"/>
  <c r="AF6" i="15"/>
  <c r="AF7" i="15"/>
  <c r="AF8" i="15"/>
  <c r="AF9" i="15"/>
  <c r="AF10" i="15"/>
  <c r="AF11" i="15"/>
  <c r="AF12" i="15"/>
  <c r="AF13" i="15"/>
  <c r="AF14" i="15"/>
  <c r="AF15" i="15"/>
  <c r="AF16" i="15"/>
  <c r="AF17" i="15"/>
  <c r="AF18" i="15"/>
  <c r="AF19" i="15"/>
  <c r="AF20" i="15"/>
  <c r="AF21" i="15"/>
  <c r="AF22" i="15"/>
  <c r="AF23" i="15"/>
  <c r="AF24" i="15"/>
  <c r="AF25" i="15"/>
  <c r="AF26" i="15"/>
  <c r="AF27" i="15"/>
  <c r="AF28" i="15"/>
  <c r="AF29" i="15"/>
  <c r="AF30" i="15"/>
  <c r="AF31" i="15"/>
  <c r="AF32" i="15"/>
  <c r="AF3" i="15"/>
  <c r="C37" i="15" a="1"/>
  <c r="C37" i="15" s="1"/>
  <c r="AB33" i="15"/>
  <c r="AE4" i="15"/>
  <c r="AE5" i="15"/>
  <c r="AE6" i="15"/>
  <c r="AE7" i="15"/>
  <c r="AE8" i="15"/>
  <c r="AE9" i="15"/>
  <c r="AE10" i="15"/>
  <c r="AE11" i="15"/>
  <c r="AE12" i="15"/>
  <c r="AE13" i="15"/>
  <c r="AE14" i="15"/>
  <c r="AE15" i="15"/>
  <c r="AE16" i="15"/>
  <c r="AE17" i="15"/>
  <c r="AE18" i="15"/>
  <c r="AE19" i="15"/>
  <c r="AE20" i="15"/>
  <c r="AE21" i="15"/>
  <c r="AE22" i="15"/>
  <c r="AE23" i="15"/>
  <c r="AE24" i="15"/>
  <c r="AE25" i="15"/>
  <c r="AE26" i="15"/>
  <c r="AE27" i="15"/>
  <c r="AE28" i="15"/>
  <c r="AE29" i="15"/>
  <c r="AE30" i="15"/>
  <c r="AE31" i="15"/>
  <c r="AE32" i="15"/>
  <c r="AE3" i="15"/>
  <c r="AE33" i="15" s="1"/>
  <c r="F37" i="15" s="1" a="1"/>
  <c r="F37" i="15" s="1"/>
  <c r="AD4" i="15"/>
  <c r="AD5" i="15"/>
  <c r="AD6" i="15"/>
  <c r="AD7" i="15"/>
  <c r="AD8" i="15"/>
  <c r="AD9" i="15"/>
  <c r="AD10" i="15"/>
  <c r="AD11" i="15"/>
  <c r="AD12" i="15"/>
  <c r="AD13" i="15"/>
  <c r="AD14" i="15"/>
  <c r="AD15" i="15"/>
  <c r="AD16" i="15"/>
  <c r="AD17" i="15"/>
  <c r="AD18" i="15"/>
  <c r="AD19" i="15"/>
  <c r="AD20" i="15"/>
  <c r="AD21" i="15"/>
  <c r="AD22" i="15"/>
  <c r="AD23" i="15"/>
  <c r="AD24" i="15"/>
  <c r="AD25" i="15"/>
  <c r="AD26" i="15"/>
  <c r="AD27" i="15"/>
  <c r="AD28" i="15"/>
  <c r="AD29" i="15"/>
  <c r="AD30" i="15"/>
  <c r="AD31" i="15"/>
  <c r="AD32" i="15"/>
  <c r="AD3" i="15"/>
  <c r="AD33" i="15" s="1"/>
  <c r="E37" i="15" s="1" a="1"/>
  <c r="E37" i="15" s="1"/>
  <c r="AC4" i="15"/>
  <c r="AC5" i="15"/>
  <c r="AC6" i="15"/>
  <c r="AC33" i="15" s="1"/>
  <c r="AC7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" i="15"/>
  <c r="AB4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" i="15"/>
  <c r="AA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19" i="15"/>
  <c r="AA20" i="15"/>
  <c r="AA21" i="15"/>
  <c r="AA22" i="15"/>
  <c r="AA23" i="15"/>
  <c r="AA24" i="15"/>
  <c r="AA25" i="15"/>
  <c r="AA26" i="15"/>
  <c r="AA27" i="15"/>
  <c r="AA28" i="15"/>
  <c r="AA29" i="15"/>
  <c r="AA30" i="15"/>
  <c r="AA31" i="15"/>
  <c r="AA32" i="15"/>
  <c r="AA3" i="15"/>
  <c r="C33" i="15"/>
  <c r="D33" i="15"/>
  <c r="E33" i="15"/>
  <c r="F33" i="15"/>
  <c r="G33" i="15"/>
  <c r="H33" i="15"/>
  <c r="I33" i="15"/>
  <c r="J33" i="15"/>
  <c r="K33" i="15"/>
  <c r="L33" i="15"/>
  <c r="D37" i="15" s="1" a="1"/>
  <c r="D37" i="15" s="1"/>
  <c r="M33" i="15"/>
  <c r="N33" i="15"/>
  <c r="O33" i="15"/>
  <c r="P33" i="15"/>
  <c r="Q33" i="15"/>
  <c r="R33" i="15"/>
  <c r="S33" i="15"/>
  <c r="T33" i="15"/>
  <c r="U33" i="15"/>
  <c r="V33" i="15"/>
  <c r="W33" i="15"/>
  <c r="X33" i="15"/>
  <c r="Y33" i="15"/>
  <c r="Z33" i="15"/>
  <c r="B33" i="15"/>
  <c r="AF33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" i="12"/>
  <c r="AE33" i="12"/>
  <c r="AD33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4" i="12"/>
  <c r="AE3" i="12"/>
  <c r="AD3" i="12"/>
  <c r="AC3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" i="12"/>
  <c r="AB33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4" i="12"/>
  <c r="AB3" i="12"/>
  <c r="AA33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4" i="12"/>
  <c r="AA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C33" i="12"/>
  <c r="B33" i="12"/>
  <c r="F14" i="11"/>
  <c r="C12" i="11"/>
  <c r="D12" i="11"/>
  <c r="E12" i="11"/>
  <c r="F12" i="11"/>
  <c r="B12" i="11"/>
  <c r="E12" i="10"/>
  <c r="F12" i="10"/>
  <c r="D12" i="10"/>
  <c r="C12" i="10"/>
  <c r="G3" i="10"/>
  <c r="G4" i="10"/>
  <c r="G5" i="10"/>
  <c r="G6" i="10"/>
  <c r="G7" i="10"/>
  <c r="G8" i="10"/>
  <c r="G9" i="10"/>
  <c r="G10" i="10"/>
  <c r="G11" i="10"/>
  <c r="G2" i="10"/>
  <c r="F3" i="10"/>
  <c r="F4" i="10"/>
  <c r="F5" i="10"/>
  <c r="F6" i="10"/>
  <c r="F7" i="10"/>
  <c r="F8" i="10"/>
  <c r="F9" i="10"/>
  <c r="F10" i="10"/>
  <c r="F11" i="10"/>
  <c r="F2" i="10"/>
  <c r="C18" i="9"/>
  <c r="C17" i="9"/>
  <c r="D19" i="9"/>
  <c r="D18" i="9"/>
  <c r="D17" i="9"/>
  <c r="D16" i="9"/>
  <c r="D15" i="9"/>
  <c r="D14" i="9"/>
  <c r="C19" i="9"/>
  <c r="C16" i="9"/>
  <c r="C15" i="9"/>
  <c r="C14" i="9"/>
  <c r="B19" i="9"/>
  <c r="B18" i="9"/>
  <c r="B17" i="9"/>
  <c r="B16" i="9"/>
  <c r="B15" i="9"/>
  <c r="B14" i="9"/>
  <c r="W3" i="9"/>
  <c r="W4" i="9"/>
  <c r="W5" i="9"/>
  <c r="W6" i="9"/>
  <c r="W7" i="9"/>
  <c r="W8" i="9"/>
  <c r="W9" i="9"/>
  <c r="W2" i="9"/>
  <c r="T3" i="9"/>
  <c r="T4" i="9"/>
  <c r="T5" i="9"/>
  <c r="T6" i="9"/>
  <c r="T7" i="9"/>
  <c r="T8" i="9"/>
  <c r="T9" i="9"/>
  <c r="T2" i="9"/>
  <c r="Q3" i="9"/>
  <c r="Q4" i="9"/>
  <c r="Q5" i="9"/>
  <c r="Q6" i="9"/>
  <c r="Q7" i="9"/>
  <c r="Q8" i="9"/>
  <c r="Q9" i="9"/>
  <c r="Q2" i="9"/>
  <c r="N3" i="9"/>
  <c r="N4" i="9"/>
  <c r="N5" i="9"/>
  <c r="N6" i="9"/>
  <c r="N7" i="9"/>
  <c r="N8" i="9"/>
  <c r="N9" i="9"/>
  <c r="N2" i="9"/>
  <c r="K3" i="9"/>
  <c r="K4" i="9"/>
  <c r="K5" i="9"/>
  <c r="K6" i="9"/>
  <c r="K7" i="9"/>
  <c r="K8" i="9"/>
  <c r="K9" i="9"/>
  <c r="K2" i="9"/>
  <c r="H3" i="9"/>
  <c r="H4" i="9"/>
  <c r="H5" i="9"/>
  <c r="H6" i="9"/>
  <c r="H7" i="9"/>
  <c r="H8" i="9"/>
  <c r="H9" i="9"/>
  <c r="H2" i="9"/>
  <c r="E3" i="9"/>
  <c r="E4" i="9"/>
  <c r="E5" i="9"/>
  <c r="E6" i="9"/>
  <c r="E7" i="9"/>
  <c r="E8" i="9"/>
  <c r="E9" i="9"/>
  <c r="E2" i="9"/>
  <c r="AI3" i="2"/>
  <c r="AJ3" i="2" s="1"/>
  <c r="AI4" i="2"/>
  <c r="AJ4" i="2" s="1"/>
  <c r="AI6" i="2"/>
  <c r="AJ6" i="2" s="1"/>
  <c r="AI7" i="2"/>
  <c r="AJ7" i="2" s="1"/>
  <c r="AI8" i="2"/>
  <c r="AJ8" i="2" s="1"/>
  <c r="AF3" i="2"/>
  <c r="AF4" i="2"/>
  <c r="AF7" i="2"/>
  <c r="AD3" i="2"/>
  <c r="AD4" i="2"/>
  <c r="AD5" i="2"/>
  <c r="AD6" i="2"/>
  <c r="AD7" i="2"/>
  <c r="AD8" i="2"/>
  <c r="AD9" i="2"/>
  <c r="AD2" i="2"/>
  <c r="AC3" i="2"/>
  <c r="AC4" i="2"/>
  <c r="AC5" i="2"/>
  <c r="AC6" i="2"/>
  <c r="AC7" i="2"/>
  <c r="AC8" i="2"/>
  <c r="AC9" i="2"/>
  <c r="AC2" i="2"/>
  <c r="Z3" i="2"/>
  <c r="Z4" i="2"/>
  <c r="Z7" i="2"/>
  <c r="M3" i="2"/>
  <c r="M4" i="2"/>
  <c r="M5" i="2"/>
  <c r="M6" i="2"/>
  <c r="M7" i="2"/>
  <c r="M8" i="2"/>
  <c r="M9" i="2"/>
  <c r="M2" i="2"/>
  <c r="W3" i="2"/>
  <c r="W4" i="2"/>
  <c r="W7" i="2"/>
  <c r="T3" i="2"/>
  <c r="T4" i="2"/>
  <c r="T7" i="2"/>
  <c r="Q3" i="2"/>
  <c r="Q7" i="2"/>
  <c r="J3" i="2"/>
  <c r="L3" i="2" s="1"/>
  <c r="J4" i="2"/>
  <c r="L4" i="2" s="1"/>
  <c r="J5" i="2"/>
  <c r="L5" i="2" s="1"/>
  <c r="J9" i="2"/>
  <c r="L9" i="2" s="1"/>
  <c r="I3" i="2"/>
  <c r="I4" i="2"/>
  <c r="I5" i="2"/>
  <c r="I6" i="2"/>
  <c r="I7" i="2"/>
  <c r="I8" i="2"/>
  <c r="I9" i="2"/>
  <c r="I2" i="2"/>
  <c r="H3" i="2"/>
  <c r="H4" i="2"/>
  <c r="Q4" i="2" s="1"/>
  <c r="H5" i="2"/>
  <c r="T5" i="2" s="1"/>
  <c r="H6" i="2"/>
  <c r="J6" i="2" s="1"/>
  <c r="H7" i="2"/>
  <c r="J7" i="2" s="1"/>
  <c r="H8" i="2"/>
  <c r="Q8" i="2" s="1"/>
  <c r="H9" i="2"/>
  <c r="AF9" i="2" s="1"/>
  <c r="H2" i="2"/>
  <c r="Q2" i="2" s="1"/>
  <c r="G3" i="2"/>
  <c r="G4" i="2"/>
  <c r="G5" i="2"/>
  <c r="G6" i="2"/>
  <c r="G7" i="2"/>
  <c r="G8" i="2"/>
  <c r="G9" i="2"/>
  <c r="G2" i="2"/>
  <c r="F3" i="2"/>
  <c r="F4" i="2"/>
  <c r="F5" i="2"/>
  <c r="F6" i="2"/>
  <c r="F7" i="2"/>
  <c r="F8" i="2"/>
  <c r="F9" i="2"/>
  <c r="F2" i="2"/>
  <c r="AI9" i="2" s="1"/>
  <c r="AJ9" i="2" s="1"/>
  <c r="D9" i="2"/>
  <c r="D7" i="2"/>
  <c r="D8" i="2"/>
  <c r="D6" i="2"/>
  <c r="D5" i="2"/>
  <c r="D4" i="2"/>
  <c r="D3" i="2"/>
  <c r="D2" i="2"/>
  <c r="C9" i="2"/>
  <c r="C8" i="2"/>
  <c r="C7" i="2"/>
  <c r="C6" i="2"/>
  <c r="C3" i="2"/>
  <c r="C5" i="2"/>
  <c r="C4" i="2"/>
  <c r="B10" i="2"/>
  <c r="B9" i="2"/>
  <c r="B8" i="2"/>
  <c r="B7" i="2"/>
  <c r="B6" i="2"/>
  <c r="B5" i="2"/>
  <c r="B4" i="2"/>
  <c r="B3" i="2"/>
  <c r="B2" i="2"/>
  <c r="L7" i="2" l="1"/>
  <c r="L6" i="2"/>
  <c r="R3" i="2"/>
  <c r="R8" i="2"/>
  <c r="R4" i="2"/>
  <c r="Q5" i="2"/>
  <c r="R5" i="2" s="1"/>
  <c r="T2" i="2"/>
  <c r="U3" i="2" s="1"/>
  <c r="V3" i="2" s="1"/>
  <c r="W6" i="2"/>
  <c r="Z6" i="2"/>
  <c r="AA6" i="2" s="1"/>
  <c r="AF6" i="2"/>
  <c r="J2" i="2"/>
  <c r="K3" i="2" s="1"/>
  <c r="T9" i="2"/>
  <c r="W5" i="2"/>
  <c r="Z5" i="2"/>
  <c r="AF5" i="2"/>
  <c r="AG5" i="2" s="1"/>
  <c r="AI5" i="2"/>
  <c r="AJ5" i="2" s="1"/>
  <c r="AK5" i="2" s="1"/>
  <c r="Q9" i="2"/>
  <c r="T6" i="2"/>
  <c r="W2" i="2"/>
  <c r="Z2" i="2"/>
  <c r="AA7" i="2" s="1"/>
  <c r="AF2" i="2"/>
  <c r="AI2" i="2"/>
  <c r="AJ2" i="2" s="1"/>
  <c r="AK9" i="2" s="1"/>
  <c r="AL9" i="2" s="1"/>
  <c r="AM9" i="2" s="1"/>
  <c r="W8" i="2"/>
  <c r="X8" i="2" s="1"/>
  <c r="Z8" i="2"/>
  <c r="AF8" i="2"/>
  <c r="Q6" i="2"/>
  <c r="T8" i="2"/>
  <c r="J8" i="2"/>
  <c r="K7" i="2" s="1"/>
  <c r="K9" i="2"/>
  <c r="W9" i="2"/>
  <c r="X9" i="2" s="1"/>
  <c r="Z9" i="2"/>
  <c r="AA33" i="15"/>
  <c r="B37" i="15" s="1" a="1"/>
  <c r="B37" i="15" s="1"/>
  <c r="L34" i="12"/>
  <c r="B34" i="12"/>
  <c r="G34" i="12"/>
  <c r="Q34" i="12"/>
  <c r="V34" i="12"/>
  <c r="AE7" i="2" l="1"/>
  <c r="N7" i="2"/>
  <c r="O7" i="2" s="1"/>
  <c r="AB7" i="2"/>
  <c r="AE3" i="2"/>
  <c r="N3" i="2"/>
  <c r="O3" i="2" s="1"/>
  <c r="AL5" i="2"/>
  <c r="AM5" i="2" s="1"/>
  <c r="X6" i="2"/>
  <c r="Y6" i="2" s="1"/>
  <c r="AA5" i="2"/>
  <c r="AB5" i="2" s="1"/>
  <c r="AG2" i="2"/>
  <c r="X5" i="2"/>
  <c r="X7" i="2"/>
  <c r="Y7" i="2" s="1"/>
  <c r="AG9" i="2"/>
  <c r="AH9" i="2" s="1"/>
  <c r="R6" i="2"/>
  <c r="S6" i="2" s="1"/>
  <c r="U9" i="2"/>
  <c r="V9" i="2" s="1"/>
  <c r="K4" i="2"/>
  <c r="R2" i="2"/>
  <c r="K5" i="2"/>
  <c r="X2" i="2"/>
  <c r="R7" i="2"/>
  <c r="S7" i="2" s="1"/>
  <c r="AK2" i="2"/>
  <c r="AG3" i="2"/>
  <c r="AH3" i="2" s="1"/>
  <c r="S5" i="2"/>
  <c r="AK6" i="2"/>
  <c r="AL6" i="2" s="1"/>
  <c r="AM6" i="2" s="1"/>
  <c r="AA2" i="2"/>
  <c r="AB2" i="2" s="1"/>
  <c r="AG4" i="2"/>
  <c r="AA9" i="2"/>
  <c r="AB9" i="2" s="1"/>
  <c r="AG8" i="2"/>
  <c r="U6" i="2"/>
  <c r="V6" i="2" s="1"/>
  <c r="L2" i="2"/>
  <c r="K2" i="2"/>
  <c r="AK7" i="2"/>
  <c r="AL7" i="2" s="1"/>
  <c r="AM7" i="2" s="1"/>
  <c r="AG7" i="2"/>
  <c r="AH7" i="2" s="1"/>
  <c r="AK3" i="2"/>
  <c r="AL3" i="2" s="1"/>
  <c r="AM3" i="2" s="1"/>
  <c r="K6" i="2"/>
  <c r="AH5" i="2"/>
  <c r="U2" i="2"/>
  <c r="U7" i="2"/>
  <c r="V7" i="2" s="1"/>
  <c r="S8" i="2"/>
  <c r="U5" i="2"/>
  <c r="V5" i="2" s="1"/>
  <c r="U8" i="2"/>
  <c r="V8" i="2" s="1"/>
  <c r="Y9" i="2"/>
  <c r="AA8" i="2"/>
  <c r="R9" i="2"/>
  <c r="S9" i="2" s="1"/>
  <c r="AG6" i="2"/>
  <c r="AH6" i="2" s="1"/>
  <c r="X3" i="2"/>
  <c r="Y3" i="2" s="1"/>
  <c r="U4" i="2"/>
  <c r="V4" i="2" s="1"/>
  <c r="AK4" i="2"/>
  <c r="AL4" i="2" s="1"/>
  <c r="AM4" i="2" s="1"/>
  <c r="AE9" i="2"/>
  <c r="N9" i="2"/>
  <c r="O9" i="2" s="1"/>
  <c r="AB6" i="2"/>
  <c r="AK8" i="2"/>
  <c r="AA3" i="2"/>
  <c r="AB3" i="2" s="1"/>
  <c r="AA4" i="2"/>
  <c r="L8" i="2"/>
  <c r="K8" i="2"/>
  <c r="Y8" i="2" s="1"/>
  <c r="X4" i="2"/>
  <c r="Y4" i="2" s="1"/>
  <c r="S3" i="2"/>
  <c r="B35" i="12"/>
  <c r="N2" i="2" l="1"/>
  <c r="O2" i="2" s="1"/>
  <c r="P2" i="2"/>
  <c r="AE2" i="2"/>
  <c r="AB4" i="2"/>
  <c r="AL8" i="2"/>
  <c r="AM8" i="2" s="1"/>
  <c r="AH8" i="2"/>
  <c r="V2" i="2"/>
  <c r="AL2" i="2"/>
  <c r="AM2" i="2" s="1"/>
  <c r="AB8" i="2"/>
  <c r="N6" i="2"/>
  <c r="O6" i="2" s="1"/>
  <c r="AE6" i="2"/>
  <c r="Y2" i="2"/>
  <c r="Y5" i="2"/>
  <c r="AH4" i="2"/>
  <c r="N5" i="2"/>
  <c r="O5" i="2" s="1"/>
  <c r="AE5" i="2"/>
  <c r="AH2" i="2"/>
  <c r="S2" i="2"/>
  <c r="AE8" i="2"/>
  <c r="N8" i="2"/>
  <c r="O8" i="2" s="1"/>
  <c r="AE4" i="2"/>
  <c r="N4" i="2"/>
  <c r="O4" i="2" s="1"/>
  <c r="S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<sst xmlns="http://schemas.openxmlformats.org/spreadsheetml/2006/main" count="540" uniqueCount="223">
  <si>
    <t>Record_ID</t>
  </si>
  <si>
    <t>Date_Observed</t>
  </si>
  <si>
    <t>Barangay</t>
  </si>
  <si>
    <t>Affected_Area_ha</t>
  </si>
  <si>
    <t>% of Damage</t>
  </si>
  <si>
    <t>P001</t>
  </si>
  <si>
    <t xml:space="preserve">August </t>
  </si>
  <si>
    <t>Kibid</t>
  </si>
  <si>
    <t>P002</t>
  </si>
  <si>
    <t>August</t>
  </si>
  <si>
    <t>P003</t>
  </si>
  <si>
    <t>P004</t>
  </si>
  <si>
    <t>P005</t>
  </si>
  <si>
    <t>P006</t>
  </si>
  <si>
    <t>P007</t>
  </si>
  <si>
    <t>P008</t>
  </si>
  <si>
    <t>P009</t>
  </si>
  <si>
    <t>P010</t>
  </si>
  <si>
    <t>Esperanza</t>
  </si>
  <si>
    <t>P011</t>
  </si>
  <si>
    <t>P012</t>
  </si>
  <si>
    <t>P013</t>
  </si>
  <si>
    <t>P014</t>
  </si>
  <si>
    <t>P015</t>
  </si>
  <si>
    <t>P016</t>
  </si>
  <si>
    <t>Matapol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</si>
  <si>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</si>
  <si>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</si>
  <si>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</si>
  <si>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</si>
  <si>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</si>
  <si>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</si>
  <si>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</si>
  <si>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</si>
  <si>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</si>
  <si>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Lapuz</t>
  </si>
  <si>
    <t>P026</t>
  </si>
  <si>
    <t>P027</t>
  </si>
  <si>
    <t>P028</t>
  </si>
  <si>
    <t>P029</t>
  </si>
  <si>
    <t>P030</t>
  </si>
  <si>
    <t>Poblacion</t>
  </si>
  <si>
    <t>P031</t>
  </si>
  <si>
    <t>P032</t>
  </si>
  <si>
    <t>P033</t>
  </si>
  <si>
    <t>P034</t>
  </si>
  <si>
    <t>Puti</t>
  </si>
  <si>
    <t>P035</t>
  </si>
  <si>
    <t>P036</t>
  </si>
  <si>
    <t>P037</t>
  </si>
  <si>
    <t>P038</t>
  </si>
  <si>
    <t>P039</t>
  </si>
  <si>
    <t>P040</t>
  </si>
  <si>
    <t>BS Aquino</t>
  </si>
  <si>
    <t>P041</t>
  </si>
  <si>
    <t>P042</t>
  </si>
  <si>
    <t>P043</t>
  </si>
  <si>
    <t>P044</t>
  </si>
  <si>
    <t>P045</t>
  </si>
  <si>
    <t>P046</t>
  </si>
  <si>
    <t>P047</t>
  </si>
  <si>
    <t>P048</t>
  </si>
  <si>
    <t>Simsiman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</si>
  <si>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</si>
  <si>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</si>
  <si>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</si>
  <si>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</si>
  <si>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</si>
  <si>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</si>
  <si>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</si>
  <si>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</si>
  <si>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</si>
  <si>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</si>
  <si>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</si>
  <si>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</si>
  <si>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</si>
  <si>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</si>
  <si>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</si>
  <si>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</si>
  <si>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</si>
  <si>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</si>
  <si>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</si>
  <si>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</si>
  <si>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</si>
  <si>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</si>
  <si>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</si>
  <si>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</si>
  <si>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</si>
  <si>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</si>
  <si>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</si>
  <si>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</si>
  <si>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</si>
  <si>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</si>
  <si>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</si>
  <si>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</si>
  <si>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</si>
  <si>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</si>
  <si>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</si>
  <si>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</si>
  <si>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</si>
  <si>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</si>
  <si>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</si>
  <si>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Report Frequency</t>
  </si>
  <si>
    <t>Total Affected Area (ha)</t>
  </si>
  <si>
    <t>Mean Percentage Damage</t>
  </si>
  <si>
    <t>Cultivated Rice Area</t>
  </si>
  <si>
    <t>Affected-area ratio</t>
  </si>
  <si>
    <t>Normalized Frequency</t>
  </si>
  <si>
    <t>Normalized Affected Area</t>
  </si>
  <si>
    <t>Normalized damage</t>
  </si>
  <si>
    <t>IPI</t>
  </si>
  <si>
    <t>IPI Score</t>
  </si>
  <si>
    <t>Primary rank</t>
  </si>
  <si>
    <t>Priority classification</t>
  </si>
  <si>
    <t>Low</t>
  </si>
  <si>
    <t>Moderate</t>
  </si>
  <si>
    <t>High</t>
  </si>
  <si>
    <t>Very High</t>
  </si>
  <si>
    <t>Frequency Rank</t>
  </si>
  <si>
    <t>Rank Change</t>
  </si>
  <si>
    <t>Absolute Rank Change</t>
  </si>
  <si>
    <t>Spearman's rho</t>
  </si>
  <si>
    <t>Frequency emphasis</t>
  </si>
  <si>
    <t>FE Rank</t>
  </si>
  <si>
    <t>Rank change</t>
  </si>
  <si>
    <t>Area-emphasis</t>
  </si>
  <si>
    <t>AE rank</t>
  </si>
  <si>
    <t>Damage emphasis scenario</t>
  </si>
  <si>
    <t>DE rank</t>
  </si>
  <si>
    <t>W/o Frequency</t>
  </si>
  <si>
    <t>Rank</t>
  </si>
  <si>
    <t>RC</t>
  </si>
  <si>
    <t>W/o Affected Area</t>
  </si>
  <si>
    <t>W/o Damage</t>
  </si>
  <si>
    <t>Normalized AA</t>
  </si>
  <si>
    <t>Ratio Based IPI</t>
  </si>
  <si>
    <t>Absolute RC</t>
  </si>
  <si>
    <t>IPI Rank</t>
  </si>
  <si>
    <t>Abs Rank Change</t>
  </si>
  <si>
    <t>Frequency emphasis Scenario</t>
  </si>
  <si>
    <t>Area-emphasis Scenario</t>
  </si>
  <si>
    <t>Damage-emphasis scenario</t>
  </si>
  <si>
    <t>Without frequency</t>
  </si>
  <si>
    <t xml:space="preserve">Rank </t>
  </si>
  <si>
    <t>Without affected area</t>
  </si>
  <si>
    <t>Without damage</t>
  </si>
  <si>
    <t>Primary IPI</t>
  </si>
  <si>
    <t>Primary Rank</t>
  </si>
  <si>
    <t>Ratio Based Rank</t>
  </si>
  <si>
    <t>Absolute rank change</t>
  </si>
  <si>
    <t>Area-ratio alternative</t>
  </si>
  <si>
    <t>Frequency Emphasis Rank</t>
  </si>
  <si>
    <t>Area Emphasis Rank</t>
  </si>
  <si>
    <t>Damage Emphasis Rank</t>
  </si>
  <si>
    <t>Without frequency Rank</t>
  </si>
  <si>
    <t>Without affected area Rank</t>
  </si>
  <si>
    <t>Without damage Rank</t>
  </si>
  <si>
    <t>Area-ratio alternative Rank</t>
  </si>
  <si>
    <t>Mean ARC</t>
  </si>
  <si>
    <t>Maximum ARC</t>
  </si>
  <si>
    <t>Area emphasis</t>
  </si>
  <si>
    <t>Damage emphasis</t>
  </si>
  <si>
    <t>Validation criterion</t>
  </si>
  <si>
    <t>School Administrator</t>
  </si>
  <si>
    <t>Mean</t>
  </si>
  <si>
    <t>SD</t>
  </si>
  <si>
    <t>Verbal interpretation</t>
  </si>
  <si>
    <t>Overall validation result</t>
  </si>
  <si>
    <t>The direction of the instrument is easy to understand</t>
  </si>
  <si>
    <t>The concepts, vocabulary, and structure are suitable to the level of the respondents.</t>
  </si>
  <si>
    <t>The items are appropriate to the variables of the study since it measures what intends to measure.</t>
  </si>
  <si>
    <t>Each item is appropriate to the variables of the study since it measures what it tends to measure.</t>
  </si>
  <si>
    <t>The number of items is adequate to represent the coverage of the research or study.</t>
  </si>
  <si>
    <t>The items and ideas presented are organized logically.</t>
  </si>
  <si>
    <t>The instrument can be used as a tool for gathering data that is free from biases and subjectivity.</t>
  </si>
  <si>
    <t>The instrument can be used as a tool to generate comprehensive information within the given time frame.</t>
  </si>
  <si>
    <t>The instrument can be used as a tool to generate data that are of value to the given research topic.</t>
  </si>
  <si>
    <t>In general, the instrument serves the purpose for which it is constructed.</t>
  </si>
  <si>
    <t>Very Highly Valid</t>
  </si>
  <si>
    <t>Highly Valid</t>
  </si>
  <si>
    <t>Educator (PhD)</t>
  </si>
  <si>
    <t>Licensed Agriculturist</t>
  </si>
  <si>
    <t>Respondent</t>
  </si>
  <si>
    <t>Validator 1</t>
  </si>
  <si>
    <t>Validator 2</t>
  </si>
  <si>
    <t>Validator 3</t>
  </si>
  <si>
    <t>Validator 4</t>
  </si>
  <si>
    <t>Validator 5</t>
  </si>
  <si>
    <t>Validator 6</t>
  </si>
  <si>
    <t>Validator 7</t>
  </si>
  <si>
    <t>Validator 8</t>
  </si>
  <si>
    <t>Validator 9</t>
  </si>
  <si>
    <t>Validator 10</t>
  </si>
  <si>
    <t>IPI Score Credibility</t>
  </si>
  <si>
    <t>Ranking Appropriateness</t>
  </si>
  <si>
    <t>Classification Consistency</t>
  </si>
  <si>
    <t>Overall Mean</t>
  </si>
  <si>
    <t>Respondents</t>
  </si>
  <si>
    <t>FUNCTIONALITY</t>
  </si>
  <si>
    <t>USABILITY</t>
  </si>
  <si>
    <t>RELIABILITY</t>
  </si>
  <si>
    <t>PERFORMANCE EFFICIENCY</t>
  </si>
  <si>
    <t>USER INTERFACE DESIGN</t>
  </si>
  <si>
    <t>Overall mean</t>
  </si>
  <si>
    <t>GWA</t>
  </si>
  <si>
    <t>Thematic Map Usefulness for Monitoring</t>
  </si>
  <si>
    <t>Thematic Map Clarity for Decision Support</t>
  </si>
  <si>
    <t>System-quality dimension</t>
  </si>
  <si>
    <t>Functionality</t>
  </si>
  <si>
    <t>Usability</t>
  </si>
  <si>
    <t>Reliability</t>
  </si>
  <si>
    <t>Performance efficiency</t>
  </si>
  <si>
    <t>User-Interface Design</t>
  </si>
  <si>
    <t>Overall Acceptability</t>
  </si>
  <si>
    <t>Standard Deviation</t>
  </si>
  <si>
    <t>UI Design</t>
  </si>
  <si>
    <t>Performance Efficiency</t>
  </si>
  <si>
    <t>Overall</t>
  </si>
  <si>
    <t>Variance</t>
  </si>
  <si>
    <t>PE</t>
  </si>
  <si>
    <t>Cronbach's Alpha</t>
  </si>
  <si>
    <t>Total</t>
  </si>
  <si>
    <t>Overall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</si>
</sst>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3676-CE2A-4638-8927-8A5374234416}">
  <dimension ref="A1:F88"/>
  <sheetViews>
    <sheetView zoomScaleNormal="100" workbookViewId="0">
      <selection activeCell="D9" sqref="D9"/>
    </sheetView>
  </sheetViews>
  <sheetFormatPr defaultRowHeight="14.5" x14ac:dyDescent="0.35"/>
  <cols>
    <col min="1" max="1" width="14.6328125" customWidth="1"/>
    <col min="2" max="2" width="18.1796875" customWidth="1"/>
    <col min="3" max="3" width="19.1796875" customWidth="1"/>
    <col min="4" max="4" width="16.08984375" customWidth="1"/>
    <col min="5" max="6" width="19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s="1" t="s">
        <v>5</v>
      </c>
      <c r="B2" s="1" t="s">
        <v>6</v>
      </c>
      <c r="C2" s="1" t="s">
        <v>53</v>
      </c>
      <c r="D2" s="1">
        <v>6</v>
      </c>
      <c r="E2" s="1">
        <v>45</v>
      </c>
      <c r="F2" s="1"/>
    </row>
    <row r="3" spans="1:6" x14ac:dyDescent="0.35">
      <c r="A3" s="1" t="s">
        <v>8</v>
      </c>
      <c r="B3" s="1" t="s">
        <v>9</v>
      </c>
      <c r="C3" s="1" t="s">
        <v>53</v>
      </c>
      <c r="D3" s="1">
        <v>2</v>
      </c>
      <c r="E3" s="1">
        <v>40</v>
      </c>
      <c r="F3" s="1"/>
    </row>
    <row r="4" spans="1:6" x14ac:dyDescent="0.35">
      <c r="A4" s="1" t="s">
        <v>10</v>
      </c>
      <c r="B4" s="1" t="s">
        <v>9</v>
      </c>
      <c r="C4" s="1" t="s">
        <v>53</v>
      </c>
      <c r="D4" s="1">
        <v>1</v>
      </c>
      <c r="E4" s="1">
        <v>40</v>
      </c>
      <c r="F4" s="1"/>
    </row>
    <row r="5" spans="1:6" x14ac:dyDescent="0.35">
      <c r="A5" s="1" t="s">
        <v>11</v>
      </c>
      <c r="B5" s="1" t="s">
        <v>9</v>
      </c>
      <c r="C5" s="1" t="s">
        <v>53</v>
      </c>
      <c r="D5" s="1">
        <v>1.4</v>
      </c>
      <c r="E5" s="1">
        <v>45</v>
      </c>
      <c r="F5" s="1"/>
    </row>
    <row r="6" spans="1:6" x14ac:dyDescent="0.35">
      <c r="A6" s="1" t="s">
        <v>12</v>
      </c>
      <c r="B6" s="1" t="s">
        <v>9</v>
      </c>
      <c r="C6" s="1" t="s">
        <v>53</v>
      </c>
      <c r="D6" s="1">
        <v>0.6</v>
      </c>
      <c r="E6" s="1">
        <v>30</v>
      </c>
      <c r="F6" s="1"/>
    </row>
    <row r="7" spans="1:6" x14ac:dyDescent="0.35">
      <c r="A7" s="1" t="s">
        <v>13</v>
      </c>
      <c r="B7" s="1" t="s">
        <v>9</v>
      </c>
      <c r="C7" s="1" t="s">
        <v>53</v>
      </c>
      <c r="D7" s="1">
        <v>0.5</v>
      </c>
      <c r="E7" s="1">
        <v>30</v>
      </c>
      <c r="F7" s="1"/>
    </row>
    <row r="8" spans="1:6" x14ac:dyDescent="0.35">
      <c r="A8" s="1" t="s">
        <v>14</v>
      </c>
      <c r="B8" s="1" t="s">
        <v>9</v>
      </c>
      <c r="C8" s="1" t="s">
        <v>53</v>
      </c>
      <c r="D8" s="1">
        <v>2</v>
      </c>
      <c r="E8" s="1">
        <v>35</v>
      </c>
      <c r="F8" s="1"/>
    </row>
    <row r="9" spans="1:6" x14ac:dyDescent="0.35">
      <c r="A9" s="1" t="s">
        <v>15</v>
      </c>
      <c r="B9" s="1" t="s">
        <v>9</v>
      </c>
      <c r="C9" s="1" t="s">
        <v>53</v>
      </c>
      <c r="D9" s="1">
        <v>0.8</v>
      </c>
      <c r="E9" s="1">
        <v>40</v>
      </c>
      <c r="F9" s="1"/>
    </row>
    <row r="10" spans="1:6" x14ac:dyDescent="0.35">
      <c r="A10" s="1" t="s">
        <v>16</v>
      </c>
      <c r="B10" s="1" t="s">
        <v>9</v>
      </c>
      <c r="C10" s="1" t="s">
        <v>18</v>
      </c>
      <c r="D10" s="1">
        <v>1</v>
      </c>
      <c r="E10" s="1">
        <v>30</v>
      </c>
      <c r="F10" s="1"/>
    </row>
    <row r="11" spans="1:6" x14ac:dyDescent="0.35">
      <c r="A11" s="1" t="s">
        <v>17</v>
      </c>
      <c r="B11" s="1" t="s">
        <v>9</v>
      </c>
      <c r="C11" s="1" t="s">
        <v>18</v>
      </c>
      <c r="D11" s="1">
        <v>1</v>
      </c>
      <c r="E11" s="1">
        <v>30</v>
      </c>
      <c r="F11" s="1"/>
    </row>
    <row r="12" spans="1:6" x14ac:dyDescent="0.35">
      <c r="A12" s="1" t="s">
        <v>19</v>
      </c>
      <c r="B12" s="1" t="s">
        <v>9</v>
      </c>
      <c r="C12" s="1" t="s">
        <v>18</v>
      </c>
      <c r="D12" s="1">
        <v>1.9</v>
      </c>
      <c r="E12" s="1">
        <v>20</v>
      </c>
      <c r="F12" s="1"/>
    </row>
    <row r="13" spans="1:6" x14ac:dyDescent="0.35">
      <c r="A13" s="1" t="s">
        <v>20</v>
      </c>
      <c r="B13" s="1" t="s">
        <v>9</v>
      </c>
      <c r="C13" s="1" t="s">
        <v>18</v>
      </c>
      <c r="D13" s="1">
        <v>0.5</v>
      </c>
      <c r="E13" s="1">
        <v>10</v>
      </c>
      <c r="F13" s="1"/>
    </row>
    <row r="14" spans="1:6" x14ac:dyDescent="0.35">
      <c r="A14" s="1" t="s">
        <v>21</v>
      </c>
      <c r="B14" s="1" t="s">
        <v>9</v>
      </c>
      <c r="C14" s="1" t="s">
        <v>18</v>
      </c>
      <c r="D14" s="1">
        <v>0.4</v>
      </c>
      <c r="E14" s="1">
        <v>10</v>
      </c>
      <c r="F14" s="1"/>
    </row>
    <row r="15" spans="1:6" x14ac:dyDescent="0.35">
      <c r="A15" s="1" t="s">
        <v>22</v>
      </c>
      <c r="B15" s="1" t="s">
        <v>9</v>
      </c>
      <c r="C15" s="1" t="s">
        <v>18</v>
      </c>
      <c r="D15" s="1">
        <v>1</v>
      </c>
      <c r="E15" s="1">
        <v>10</v>
      </c>
      <c r="F15" s="1"/>
    </row>
    <row r="16" spans="1:6" x14ac:dyDescent="0.35">
      <c r="A16" s="1" t="s">
        <v>23</v>
      </c>
      <c r="B16" s="1" t="s">
        <v>9</v>
      </c>
      <c r="C16" s="1" t="s">
        <v>7</v>
      </c>
      <c r="D16" s="1">
        <v>0.5</v>
      </c>
      <c r="E16" s="1">
        <v>50</v>
      </c>
      <c r="F16" s="1"/>
    </row>
    <row r="17" spans="1:6" x14ac:dyDescent="0.35">
      <c r="A17" s="1" t="s">
        <v>24</v>
      </c>
      <c r="B17" s="1" t="s">
        <v>9</v>
      </c>
      <c r="C17" s="1" t="s">
        <v>7</v>
      </c>
      <c r="D17" s="1">
        <v>1.2</v>
      </c>
      <c r="E17" s="1">
        <v>40</v>
      </c>
      <c r="F17" s="1"/>
    </row>
    <row r="18" spans="1:6" x14ac:dyDescent="0.35">
      <c r="A18" s="1" t="s">
        <v>26</v>
      </c>
      <c r="B18" s="1" t="s">
        <v>9</v>
      </c>
      <c r="C18" s="1" t="s">
        <v>7</v>
      </c>
      <c r="D18" s="1">
        <v>2</v>
      </c>
      <c r="E18" s="1">
        <v>20</v>
      </c>
      <c r="F18" s="1"/>
    </row>
    <row r="19" spans="1:6" x14ac:dyDescent="0.35">
      <c r="A19" s="1" t="s">
        <v>27</v>
      </c>
      <c r="B19" s="1" t="s">
        <v>9</v>
      </c>
      <c r="C19" s="1" t="s">
        <v>7</v>
      </c>
      <c r="D19" s="1">
        <v>1.68</v>
      </c>
      <c r="E19" s="1">
        <v>40</v>
      </c>
      <c r="F19" s="1"/>
    </row>
    <row r="20" spans="1:6" x14ac:dyDescent="0.35">
      <c r="A20" s="1" t="s">
        <v>28</v>
      </c>
      <c r="B20" s="1" t="s">
        <v>9</v>
      </c>
      <c r="C20" s="1" t="s">
        <v>7</v>
      </c>
      <c r="D20" s="1">
        <v>2.75</v>
      </c>
      <c r="E20" s="1">
        <v>30</v>
      </c>
      <c r="F20" s="1"/>
    </row>
    <row r="21" spans="1:6" x14ac:dyDescent="0.35">
      <c r="A21" s="1" t="s">
        <v>29</v>
      </c>
      <c r="B21" s="1" t="s">
        <v>9</v>
      </c>
      <c r="C21" s="1" t="s">
        <v>7</v>
      </c>
      <c r="D21" s="1">
        <v>0.5</v>
      </c>
      <c r="E21" s="1">
        <v>10</v>
      </c>
      <c r="F21" s="1"/>
    </row>
    <row r="22" spans="1:6" x14ac:dyDescent="0.35">
      <c r="A22" s="1" t="s">
        <v>30</v>
      </c>
      <c r="B22" s="1" t="s">
        <v>9</v>
      </c>
      <c r="C22" s="1" t="s">
        <v>7</v>
      </c>
      <c r="D22" s="1">
        <v>0.45</v>
      </c>
      <c r="E22" s="1">
        <v>20</v>
      </c>
      <c r="F22" s="1"/>
    </row>
    <row r="23" spans="1:6" x14ac:dyDescent="0.35">
      <c r="A23" s="1" t="s">
        <v>31</v>
      </c>
      <c r="B23" s="1" t="s">
        <v>9</v>
      </c>
      <c r="C23" s="1" t="s">
        <v>7</v>
      </c>
      <c r="D23" s="1">
        <v>0.55000000000000004</v>
      </c>
      <c r="E23" s="1">
        <v>40</v>
      </c>
      <c r="F23" s="1"/>
    </row>
    <row r="24" spans="1:6" x14ac:dyDescent="0.35">
      <c r="A24" s="1" t="s">
        <v>32</v>
      </c>
      <c r="B24" s="1" t="s">
        <v>9</v>
      </c>
      <c r="C24" s="1" t="s">
        <v>7</v>
      </c>
      <c r="D24" s="1">
        <v>0.2</v>
      </c>
      <c r="E24" s="1">
        <v>50</v>
      </c>
      <c r="F24" s="1"/>
    </row>
    <row r="25" spans="1:6" x14ac:dyDescent="0.35">
      <c r="A25" s="1" t="s">
        <v>33</v>
      </c>
      <c r="B25" s="1" t="s">
        <v>9</v>
      </c>
      <c r="C25" s="1" t="s">
        <v>35</v>
      </c>
      <c r="D25" s="1">
        <v>1</v>
      </c>
      <c r="E25" s="1">
        <v>80</v>
      </c>
      <c r="F25" s="1"/>
    </row>
    <row r="26" spans="1:6" x14ac:dyDescent="0.35">
      <c r="A26" s="1" t="s">
        <v>34</v>
      </c>
      <c r="B26" s="1" t="s">
        <v>9</v>
      </c>
      <c r="C26" s="1" t="s">
        <v>35</v>
      </c>
      <c r="D26" s="1">
        <v>0.5</v>
      </c>
      <c r="E26" s="1">
        <v>70</v>
      </c>
      <c r="F26" s="1"/>
    </row>
    <row r="27" spans="1:6" x14ac:dyDescent="0.35">
      <c r="A27" s="1" t="s">
        <v>36</v>
      </c>
      <c r="B27" s="1" t="s">
        <v>9</v>
      </c>
      <c r="C27" s="1" t="s">
        <v>35</v>
      </c>
      <c r="D27" s="1">
        <v>2</v>
      </c>
      <c r="E27" s="1">
        <v>80</v>
      </c>
      <c r="F27" s="1"/>
    </row>
    <row r="28" spans="1:6" x14ac:dyDescent="0.35">
      <c r="A28" s="1" t="s">
        <v>37</v>
      </c>
      <c r="B28" s="1" t="s">
        <v>9</v>
      </c>
      <c r="C28" s="1" t="s">
        <v>35</v>
      </c>
      <c r="D28" s="1">
        <v>1.5</v>
      </c>
      <c r="E28" s="1">
        <v>50</v>
      </c>
      <c r="F28" s="1"/>
    </row>
    <row r="29" spans="1:6" x14ac:dyDescent="0.35">
      <c r="A29" s="1" t="s">
        <v>38</v>
      </c>
      <c r="B29" s="1" t="s">
        <v>9</v>
      </c>
      <c r="C29" s="1" t="s">
        <v>35</v>
      </c>
      <c r="D29" s="1">
        <v>1.6</v>
      </c>
      <c r="E29" s="1">
        <v>40</v>
      </c>
      <c r="F29" s="1"/>
    </row>
    <row r="30" spans="1:6" x14ac:dyDescent="0.35">
      <c r="A30" s="1" t="s">
        <v>39</v>
      </c>
      <c r="B30" s="1" t="s">
        <v>9</v>
      </c>
      <c r="C30" s="1" t="s">
        <v>25</v>
      </c>
      <c r="D30" s="1">
        <v>2.93</v>
      </c>
      <c r="E30" s="1">
        <v>80</v>
      </c>
      <c r="F30" s="1"/>
    </row>
    <row r="31" spans="1:6" x14ac:dyDescent="0.35">
      <c r="A31" s="1" t="s">
        <v>40</v>
      </c>
      <c r="B31" s="1" t="s">
        <v>9</v>
      </c>
      <c r="C31" s="1" t="s">
        <v>25</v>
      </c>
      <c r="D31" s="1">
        <v>1.4</v>
      </c>
      <c r="E31" s="1">
        <v>80</v>
      </c>
      <c r="F31" s="1"/>
    </row>
    <row r="32" spans="1:6" x14ac:dyDescent="0.35">
      <c r="A32" s="1" t="s">
        <v>42</v>
      </c>
      <c r="B32" s="1" t="s">
        <v>9</v>
      </c>
      <c r="C32" s="1" t="s">
        <v>25</v>
      </c>
      <c r="D32" s="1">
        <v>2.95</v>
      </c>
      <c r="E32" s="1">
        <v>80</v>
      </c>
      <c r="F32" s="1"/>
    </row>
    <row r="33" spans="1:6" x14ac:dyDescent="0.35">
      <c r="A33" s="1" t="s">
        <v>43</v>
      </c>
      <c r="B33" s="1" t="s">
        <v>9</v>
      </c>
      <c r="C33" s="1" t="s">
        <v>25</v>
      </c>
      <c r="D33" s="1">
        <v>4</v>
      </c>
      <c r="E33" s="1">
        <v>80</v>
      </c>
      <c r="F33" s="1"/>
    </row>
    <row r="34" spans="1:6" x14ac:dyDescent="0.35">
      <c r="A34" s="1" t="s">
        <v>44</v>
      </c>
      <c r="B34" s="1" t="s">
        <v>9</v>
      </c>
      <c r="C34" s="1" t="s">
        <v>25</v>
      </c>
      <c r="D34" s="1">
        <v>1.52</v>
      </c>
      <c r="E34" s="1">
        <v>80</v>
      </c>
      <c r="F34" s="1"/>
    </row>
    <row r="35" spans="1:6" x14ac:dyDescent="0.35">
      <c r="A35" s="1" t="s">
        <v>45</v>
      </c>
      <c r="B35" s="1" t="s">
        <v>9</v>
      </c>
      <c r="C35" s="1" t="s">
        <v>25</v>
      </c>
      <c r="D35" s="1">
        <v>1</v>
      </c>
      <c r="E35" s="1">
        <v>80</v>
      </c>
      <c r="F35" s="1"/>
    </row>
    <row r="36" spans="1:6" x14ac:dyDescent="0.35">
      <c r="A36" s="1" t="s">
        <v>47</v>
      </c>
      <c r="B36" s="1" t="s">
        <v>9</v>
      </c>
      <c r="C36" s="1" t="s">
        <v>25</v>
      </c>
      <c r="D36" s="1">
        <v>2.57</v>
      </c>
      <c r="E36" s="1">
        <v>80</v>
      </c>
      <c r="F36" s="1"/>
    </row>
    <row r="37" spans="1:6" x14ac:dyDescent="0.35">
      <c r="A37" s="1" t="s">
        <v>48</v>
      </c>
      <c r="B37" s="1" t="s">
        <v>9</v>
      </c>
      <c r="C37" s="1" t="s">
        <v>25</v>
      </c>
      <c r="D37" s="1">
        <v>2.44</v>
      </c>
      <c r="E37" s="1">
        <v>80</v>
      </c>
      <c r="F37" s="1"/>
    </row>
    <row r="38" spans="1:6" x14ac:dyDescent="0.35">
      <c r="A38" s="1" t="s">
        <v>49</v>
      </c>
      <c r="B38" s="1" t="s">
        <v>9</v>
      </c>
      <c r="C38" s="1" t="s">
        <v>25</v>
      </c>
      <c r="D38" s="1">
        <v>1</v>
      </c>
      <c r="E38" s="1">
        <v>80</v>
      </c>
      <c r="F38" s="1"/>
    </row>
    <row r="39" spans="1:6" x14ac:dyDescent="0.35">
      <c r="A39" s="1" t="s">
        <v>50</v>
      </c>
      <c r="B39" s="1" t="s">
        <v>9</v>
      </c>
      <c r="C39" s="1" t="s">
        <v>41</v>
      </c>
      <c r="D39" s="1">
        <v>2</v>
      </c>
      <c r="E39" s="1">
        <v>40</v>
      </c>
      <c r="F39" s="1"/>
    </row>
    <row r="40" spans="1:6" x14ac:dyDescent="0.35">
      <c r="A40" s="1" t="s">
        <v>51</v>
      </c>
      <c r="B40" s="1" t="s">
        <v>9</v>
      </c>
      <c r="C40" s="1" t="s">
        <v>41</v>
      </c>
      <c r="D40" s="1">
        <v>2</v>
      </c>
      <c r="E40" s="1">
        <v>40</v>
      </c>
      <c r="F40" s="1"/>
    </row>
    <row r="41" spans="1:6" x14ac:dyDescent="0.35">
      <c r="A41" s="1" t="s">
        <v>52</v>
      </c>
      <c r="B41" s="1" t="s">
        <v>9</v>
      </c>
      <c r="C41" s="1" t="s">
        <v>41</v>
      </c>
      <c r="D41" s="1">
        <v>1</v>
      </c>
      <c r="E41" s="1">
        <v>50</v>
      </c>
      <c r="F41" s="1"/>
    </row>
    <row r="42" spans="1:6" x14ac:dyDescent="0.35">
      <c r="A42" s="1" t="s">
        <v>54</v>
      </c>
      <c r="B42" s="1" t="s">
        <v>9</v>
      </c>
      <c r="C42" s="1" t="s">
        <v>41</v>
      </c>
      <c r="D42" s="1">
        <v>1.3</v>
      </c>
      <c r="E42" s="1">
        <v>80</v>
      </c>
      <c r="F42" s="1"/>
    </row>
    <row r="43" spans="1:6" x14ac:dyDescent="0.35">
      <c r="A43" s="1" t="s">
        <v>55</v>
      </c>
      <c r="B43" s="1" t="s">
        <v>9</v>
      </c>
      <c r="C43" s="1" t="s">
        <v>46</v>
      </c>
      <c r="D43" s="1">
        <v>1.06</v>
      </c>
      <c r="E43" s="1">
        <v>90</v>
      </c>
      <c r="F43" s="1"/>
    </row>
    <row r="44" spans="1:6" x14ac:dyDescent="0.35">
      <c r="A44" s="1" t="s">
        <v>56</v>
      </c>
      <c r="B44" s="1" t="s">
        <v>9</v>
      </c>
      <c r="C44" s="1" t="s">
        <v>46</v>
      </c>
      <c r="D44" s="1">
        <v>2</v>
      </c>
      <c r="E44" s="1">
        <v>60</v>
      </c>
      <c r="F44" s="1"/>
    </row>
    <row r="45" spans="1:6" x14ac:dyDescent="0.35">
      <c r="A45" s="1" t="s">
        <v>57</v>
      </c>
      <c r="B45" s="1" t="s">
        <v>9</v>
      </c>
      <c r="C45" s="1" t="s">
        <v>46</v>
      </c>
      <c r="D45" s="1">
        <v>0.5</v>
      </c>
      <c r="E45" s="1">
        <v>40</v>
      </c>
      <c r="F45" s="1"/>
    </row>
    <row r="46" spans="1:6" x14ac:dyDescent="0.35">
      <c r="A46" s="1" t="s">
        <v>58</v>
      </c>
      <c r="B46" s="1" t="s">
        <v>9</v>
      </c>
      <c r="C46" s="1" t="s">
        <v>46</v>
      </c>
      <c r="D46" s="1">
        <v>1.8</v>
      </c>
      <c r="E46" s="1">
        <v>40</v>
      </c>
      <c r="F46" s="1"/>
    </row>
    <row r="47" spans="1:6" x14ac:dyDescent="0.35">
      <c r="A47" s="1" t="s">
        <v>59</v>
      </c>
      <c r="B47" s="1" t="s">
        <v>9</v>
      </c>
      <c r="C47" s="1" t="s">
        <v>46</v>
      </c>
      <c r="D47" s="1">
        <v>1.78</v>
      </c>
      <c r="E47" s="1">
        <v>80</v>
      </c>
      <c r="F47" s="1"/>
    </row>
    <row r="48" spans="1:6" x14ac:dyDescent="0.35">
      <c r="A48" s="1" t="s">
        <v>60</v>
      </c>
      <c r="B48" s="1" t="s">
        <v>9</v>
      </c>
      <c r="C48" s="1" t="s">
        <v>46</v>
      </c>
      <c r="D48" s="1">
        <v>0.49</v>
      </c>
      <c r="E48" s="1">
        <v>40</v>
      </c>
      <c r="F48" s="1"/>
    </row>
    <row r="49" spans="1:6" x14ac:dyDescent="0.35">
      <c r="A49" s="1" t="s">
        <v>61</v>
      </c>
      <c r="B49" s="1" t="s">
        <v>9</v>
      </c>
      <c r="C49" s="1" t="s">
        <v>62</v>
      </c>
      <c r="D49" s="1">
        <v>2</v>
      </c>
      <c r="E49" s="1">
        <v>50</v>
      </c>
      <c r="F49" s="1"/>
    </row>
    <row r="50" spans="1:6" x14ac:dyDescent="0.35">
      <c r="A50" s="1" t="s">
        <v>63</v>
      </c>
      <c r="B50" s="1" t="s">
        <v>9</v>
      </c>
      <c r="C50" s="1" t="s">
        <v>62</v>
      </c>
      <c r="D50" s="1">
        <v>0.51</v>
      </c>
      <c r="E50" s="1">
        <v>60</v>
      </c>
      <c r="F50" s="1"/>
    </row>
    <row r="51" spans="1:6" x14ac:dyDescent="0.35">
      <c r="A51" s="1" t="s">
        <v>64</v>
      </c>
      <c r="B51" s="1" t="s">
        <v>9</v>
      </c>
      <c r="C51" s="1" t="s">
        <v>62</v>
      </c>
      <c r="D51" s="1">
        <v>1.96</v>
      </c>
      <c r="E51" s="1">
        <v>60</v>
      </c>
      <c r="F51" s="1"/>
    </row>
    <row r="52" spans="1:6" x14ac:dyDescent="0.35">
      <c r="A52" s="1" t="s">
        <v>65</v>
      </c>
      <c r="B52" s="1" t="s">
        <v>9</v>
      </c>
      <c r="C52" s="1" t="s">
        <v>62</v>
      </c>
      <c r="D52" s="1">
        <v>0.6</v>
      </c>
      <c r="E52" s="1">
        <v>60</v>
      </c>
      <c r="F52" s="1"/>
    </row>
    <row r="53" spans="1:6" x14ac:dyDescent="0.35">
      <c r="A53" s="1" t="s">
        <v>66</v>
      </c>
      <c r="B53" s="1" t="s">
        <v>9</v>
      </c>
      <c r="C53" s="1" t="s">
        <v>62</v>
      </c>
      <c r="D53" s="1">
        <v>0.95</v>
      </c>
      <c r="E53" s="1">
        <v>50</v>
      </c>
      <c r="F53" s="1"/>
    </row>
    <row r="54" spans="1:6" x14ac:dyDescent="0.35">
      <c r="A54" s="1" t="s">
        <v>67</v>
      </c>
      <c r="B54" s="1" t="s">
        <v>9</v>
      </c>
      <c r="C54" s="1" t="s">
        <v>62</v>
      </c>
      <c r="D54" s="1">
        <v>2</v>
      </c>
      <c r="E54" s="1">
        <v>60</v>
      </c>
      <c r="F54" s="1"/>
    </row>
    <row r="55" spans="1:6" x14ac:dyDescent="0.35">
      <c r="A55" s="1" t="s">
        <v>68</v>
      </c>
      <c r="B55" s="1" t="s">
        <v>9</v>
      </c>
      <c r="C55" s="1" t="s">
        <v>62</v>
      </c>
      <c r="D55" s="1">
        <v>0.5</v>
      </c>
      <c r="E55" s="1">
        <v>70</v>
      </c>
      <c r="F55" s="1"/>
    </row>
    <row r="56" spans="1:6" x14ac:dyDescent="0.35">
      <c r="A56" s="1" t="s">
        <v>69</v>
      </c>
      <c r="B56" s="1" t="s">
        <v>9</v>
      </c>
      <c r="C56" s="1" t="s">
        <v>62</v>
      </c>
      <c r="D56" s="1">
        <v>2</v>
      </c>
      <c r="E56" s="1">
        <v>50</v>
      </c>
      <c r="F56" s="1"/>
    </row>
    <row r="57" spans="1:6" x14ac:dyDescent="0.35">
      <c r="A57" s="1" t="s">
        <v>70</v>
      </c>
      <c r="B57" s="1" t="s">
        <v>9</v>
      </c>
      <c r="C57" s="1" t="s">
        <v>62</v>
      </c>
      <c r="D57" s="1">
        <v>0.99</v>
      </c>
      <c r="E57" s="1">
        <v>50</v>
      </c>
      <c r="F57" s="1"/>
    </row>
    <row r="58" spans="1:6" x14ac:dyDescent="0.35">
      <c r="A58" s="1" t="s">
        <v>71</v>
      </c>
      <c r="B58" s="1" t="s">
        <v>9</v>
      </c>
      <c r="C58" s="1" t="s">
        <v>62</v>
      </c>
      <c r="D58" s="1">
        <v>1.1200000000000001</v>
      </c>
      <c r="E58" s="1">
        <v>60</v>
      </c>
      <c r="F58" s="1"/>
    </row>
    <row r="59" spans="1:6" x14ac:dyDescent="0.35">
      <c r="A59" s="1" t="s">
        <v>72</v>
      </c>
      <c r="B59" s="1" t="s">
        <v>9</v>
      </c>
      <c r="C59" s="1" t="s">
        <v>62</v>
      </c>
      <c r="D59" s="1">
        <v>2.14</v>
      </c>
      <c r="E59" s="1">
        <v>60</v>
      </c>
      <c r="F59" s="1"/>
    </row>
    <row r="60" spans="1:6" x14ac:dyDescent="0.35">
      <c r="A60" s="1" t="s">
        <v>73</v>
      </c>
      <c r="B60" s="1" t="s">
        <v>9</v>
      </c>
      <c r="C60" s="1" t="s">
        <v>62</v>
      </c>
      <c r="D60" s="1">
        <v>1.72</v>
      </c>
      <c r="E60" s="1">
        <v>50</v>
      </c>
      <c r="F60" s="1"/>
    </row>
    <row r="61" spans="1:6" x14ac:dyDescent="0.35">
      <c r="A61" s="1" t="s">
        <v>74</v>
      </c>
      <c r="B61" s="1" t="s">
        <v>9</v>
      </c>
      <c r="C61" s="1" t="s">
        <v>62</v>
      </c>
      <c r="D61" s="1">
        <v>1.44</v>
      </c>
      <c r="E61" s="1">
        <v>40</v>
      </c>
      <c r="F61" s="1"/>
    </row>
    <row r="62" spans="1:6" x14ac:dyDescent="0.35">
      <c r="A62" s="1" t="s">
        <v>75</v>
      </c>
      <c r="B62" s="1" t="s">
        <v>9</v>
      </c>
      <c r="C62" s="1" t="s">
        <v>62</v>
      </c>
      <c r="D62" s="1">
        <v>3.4</v>
      </c>
      <c r="E62" s="1">
        <v>50</v>
      </c>
      <c r="F62" s="1"/>
    </row>
    <row r="63" spans="1:6" x14ac:dyDescent="0.35">
      <c r="A63" s="1" t="s">
        <v>76</v>
      </c>
      <c r="B63" s="1" t="s">
        <v>9</v>
      </c>
      <c r="C63" s="1" t="s">
        <v>62</v>
      </c>
      <c r="D63" s="1">
        <v>2.5</v>
      </c>
      <c r="E63" s="1">
        <v>50</v>
      </c>
      <c r="F63" s="1"/>
    </row>
    <row r="64" spans="1:6" x14ac:dyDescent="0.35">
      <c r="A64" s="1" t="s">
        <v>77</v>
      </c>
      <c r="B64" s="1" t="s">
        <v>9</v>
      </c>
      <c r="C64" s="1" t="s">
        <v>62</v>
      </c>
      <c r="D64" s="1">
        <v>1.9</v>
      </c>
      <c r="E64" s="1">
        <v>40</v>
      </c>
      <c r="F64" s="1"/>
    </row>
    <row r="65" spans="1:6" x14ac:dyDescent="0.35">
      <c r="A65" s="1" t="s">
        <v>78</v>
      </c>
      <c r="B65" s="1" t="s">
        <v>9</v>
      </c>
      <c r="C65" s="1" t="s">
        <v>62</v>
      </c>
      <c r="D65" s="1">
        <v>0.5</v>
      </c>
      <c r="E65" s="1">
        <v>45</v>
      </c>
      <c r="F65" s="1"/>
    </row>
    <row r="66" spans="1:6" x14ac:dyDescent="0.35">
      <c r="A66" s="1" t="s">
        <v>79</v>
      </c>
      <c r="B66" s="1" t="s">
        <v>9</v>
      </c>
      <c r="C66" s="1" t="s">
        <v>62</v>
      </c>
      <c r="D66" s="1">
        <v>0.5</v>
      </c>
      <c r="E66" s="1">
        <v>70</v>
      </c>
      <c r="F66" s="1"/>
    </row>
    <row r="67" spans="1:6" x14ac:dyDescent="0.35">
      <c r="A67" s="1" t="s">
        <v>80</v>
      </c>
      <c r="B67" s="1" t="s">
        <v>9</v>
      </c>
      <c r="C67" s="1" t="s">
        <v>62</v>
      </c>
      <c r="D67" s="1">
        <v>3</v>
      </c>
      <c r="E67" s="1">
        <v>50</v>
      </c>
      <c r="F67" s="1"/>
    </row>
    <row r="68" spans="1:6" x14ac:dyDescent="0.35">
      <c r="A68" s="1" t="s">
        <v>81</v>
      </c>
      <c r="B68" s="1" t="s">
        <v>9</v>
      </c>
      <c r="C68" s="1" t="s">
        <v>62</v>
      </c>
      <c r="D68" s="1">
        <v>1.5</v>
      </c>
      <c r="E68" s="1">
        <v>55</v>
      </c>
      <c r="F68" s="1"/>
    </row>
    <row r="69" spans="1:6" x14ac:dyDescent="0.35">
      <c r="A69" s="1" t="s">
        <v>82</v>
      </c>
      <c r="B69" s="1" t="s">
        <v>9</v>
      </c>
      <c r="C69" s="1" t="s">
        <v>62</v>
      </c>
      <c r="D69" s="1">
        <v>0.6</v>
      </c>
      <c r="E69" s="1">
        <v>50</v>
      </c>
      <c r="F69" s="1"/>
    </row>
    <row r="70" spans="1:6" x14ac:dyDescent="0.35">
      <c r="A70" s="1" t="s">
        <v>83</v>
      </c>
      <c r="B70" s="1" t="s">
        <v>9</v>
      </c>
      <c r="C70" s="1" t="s">
        <v>62</v>
      </c>
      <c r="D70" s="1">
        <v>2.5</v>
      </c>
      <c r="E70" s="1">
        <v>50</v>
      </c>
      <c r="F70" s="1"/>
    </row>
    <row r="71" spans="1:6" x14ac:dyDescent="0.35">
      <c r="A71" s="1" t="s">
        <v>84</v>
      </c>
      <c r="B71" s="1" t="s">
        <v>9</v>
      </c>
      <c r="C71" s="1" t="s">
        <v>62</v>
      </c>
      <c r="D71" s="1">
        <v>3</v>
      </c>
      <c r="E71" s="1">
        <v>70</v>
      </c>
      <c r="F71" s="1"/>
    </row>
    <row r="72" spans="1:6" x14ac:dyDescent="0.35">
      <c r="A72" s="1" t="s">
        <v>85</v>
      </c>
      <c r="B72" s="1" t="s">
        <v>9</v>
      </c>
      <c r="C72" s="1" t="s">
        <v>62</v>
      </c>
      <c r="D72" s="1">
        <v>1.24</v>
      </c>
      <c r="E72" s="1">
        <v>60</v>
      </c>
      <c r="F72" s="1"/>
    </row>
    <row r="73" spans="1:6" x14ac:dyDescent="0.35">
      <c r="A73" s="1" t="s">
        <v>86</v>
      </c>
      <c r="B73" s="1" t="s">
        <v>9</v>
      </c>
      <c r="C73" s="1" t="s">
        <v>62</v>
      </c>
      <c r="D73" s="1">
        <v>0.5</v>
      </c>
      <c r="E73" s="1">
        <v>95</v>
      </c>
      <c r="F73" s="1"/>
    </row>
    <row r="74" spans="1:6" x14ac:dyDescent="0.35">
      <c r="A74" s="1" t="s">
        <v>87</v>
      </c>
      <c r="B74" s="1" t="s">
        <v>9</v>
      </c>
      <c r="C74" s="1" t="s">
        <v>62</v>
      </c>
      <c r="D74" s="1">
        <v>0.5</v>
      </c>
      <c r="E74" s="1">
        <v>30</v>
      </c>
      <c r="F74" s="1"/>
    </row>
    <row r="75" spans="1:6" x14ac:dyDescent="0.35">
      <c r="A75" s="1" t="s">
        <v>88</v>
      </c>
      <c r="B75" s="1" t="s">
        <v>9</v>
      </c>
      <c r="C75" s="1" t="s">
        <v>62</v>
      </c>
      <c r="D75" s="1">
        <v>0.98</v>
      </c>
      <c r="E75" s="1">
        <v>50</v>
      </c>
      <c r="F75" s="1"/>
    </row>
    <row r="76" spans="1:6" x14ac:dyDescent="0.35">
      <c r="A76" s="1" t="s">
        <v>89</v>
      </c>
      <c r="B76" s="1" t="s">
        <v>9</v>
      </c>
      <c r="C76" s="1" t="s">
        <v>62</v>
      </c>
      <c r="D76" s="1">
        <v>2</v>
      </c>
      <c r="E76" s="1">
        <v>60</v>
      </c>
      <c r="F76" s="1"/>
    </row>
    <row r="77" spans="1:6" x14ac:dyDescent="0.35">
      <c r="A77" s="1" t="s">
        <v>90</v>
      </c>
      <c r="B77" s="1" t="s">
        <v>9</v>
      </c>
      <c r="C77" s="1" t="s">
        <v>62</v>
      </c>
      <c r="D77" s="1">
        <v>1</v>
      </c>
      <c r="E77" s="1">
        <v>30</v>
      </c>
      <c r="F77" s="1"/>
    </row>
    <row r="78" spans="1:6" x14ac:dyDescent="0.35">
      <c r="A78" s="1" t="s">
        <v>91</v>
      </c>
      <c r="B78" s="1" t="s">
        <v>9</v>
      </c>
      <c r="C78" s="1" t="s">
        <v>62</v>
      </c>
      <c r="D78" s="1">
        <v>3</v>
      </c>
      <c r="E78" s="1">
        <v>40</v>
      </c>
      <c r="F78" s="1"/>
    </row>
    <row r="79" spans="1:6" x14ac:dyDescent="0.35">
      <c r="A79" s="1" t="s">
        <v>92</v>
      </c>
      <c r="B79" s="1" t="s">
        <v>9</v>
      </c>
      <c r="C79" s="1" t="s">
        <v>62</v>
      </c>
      <c r="D79" s="1">
        <v>1.5</v>
      </c>
      <c r="E79" s="1">
        <v>40</v>
      </c>
      <c r="F79" s="1"/>
    </row>
    <row r="80" spans="1:6" x14ac:dyDescent="0.35">
      <c r="A80" s="1" t="s">
        <v>93</v>
      </c>
      <c r="B80" s="1" t="s">
        <v>9</v>
      </c>
      <c r="C80" s="1" t="s">
        <v>62</v>
      </c>
      <c r="D80" s="1">
        <v>1</v>
      </c>
      <c r="E80" s="1">
        <v>50</v>
      </c>
      <c r="F80" s="1"/>
    </row>
    <row r="81" spans="1:6" x14ac:dyDescent="0.35">
      <c r="A81" s="1" t="s">
        <v>94</v>
      </c>
      <c r="B81" s="1" t="s">
        <v>9</v>
      </c>
      <c r="C81" s="1" t="s">
        <v>62</v>
      </c>
      <c r="D81" s="1">
        <v>1.1399999999999999</v>
      </c>
      <c r="E81" s="1">
        <v>60</v>
      </c>
      <c r="F81" s="1"/>
    </row>
    <row r="82" spans="1:6" x14ac:dyDescent="0.35">
      <c r="A82" s="1" t="s">
        <v>95</v>
      </c>
      <c r="B82" s="1" t="s">
        <v>9</v>
      </c>
      <c r="C82" s="1" t="s">
        <v>62</v>
      </c>
      <c r="D82" s="1">
        <v>1</v>
      </c>
      <c r="E82" s="1">
        <v>40</v>
      </c>
      <c r="F82" s="1"/>
    </row>
    <row r="83" spans="1:6" x14ac:dyDescent="0.35">
      <c r="A83" s="1" t="s">
        <v>96</v>
      </c>
      <c r="B83" s="1" t="s">
        <v>9</v>
      </c>
      <c r="C83" s="1" t="s">
        <v>62</v>
      </c>
      <c r="D83" s="1">
        <v>1.25</v>
      </c>
      <c r="E83" s="1">
        <v>30</v>
      </c>
      <c r="F83" s="1"/>
    </row>
    <row r="84" spans="1:6" x14ac:dyDescent="0.35">
      <c r="A84" s="1" t="s">
        <v>97</v>
      </c>
      <c r="B84" s="1" t="s">
        <v>9</v>
      </c>
      <c r="C84" s="1" t="s">
        <v>62</v>
      </c>
      <c r="D84" s="1">
        <v>0.94</v>
      </c>
      <c r="E84" s="1">
        <v>30</v>
      </c>
      <c r="F84" s="1"/>
    </row>
    <row r="85" spans="1:6" x14ac:dyDescent="0.35">
      <c r="A85" s="1" t="s">
        <v>98</v>
      </c>
      <c r="B85" s="1" t="s">
        <v>9</v>
      </c>
      <c r="C85" s="1" t="s">
        <v>62</v>
      </c>
      <c r="D85" s="1">
        <v>1.66</v>
      </c>
      <c r="E85" s="1">
        <v>30</v>
      </c>
      <c r="F85" s="1"/>
    </row>
    <row r="86" spans="1:6" x14ac:dyDescent="0.35">
      <c r="A86" s="1" t="s">
        <v>99</v>
      </c>
      <c r="B86" s="1" t="s">
        <v>9</v>
      </c>
      <c r="C86" s="1" t="s">
        <v>62</v>
      </c>
      <c r="D86" s="1">
        <v>1.56</v>
      </c>
      <c r="E86" s="1">
        <v>60</v>
      </c>
      <c r="F86" s="1"/>
    </row>
    <row r="87" spans="1:6" x14ac:dyDescent="0.35">
      <c r="A87" s="1" t="s">
        <v>100</v>
      </c>
      <c r="B87" s="1" t="s">
        <v>9</v>
      </c>
      <c r="C87" s="1" t="s">
        <v>62</v>
      </c>
      <c r="D87" s="1">
        <v>1.5</v>
      </c>
      <c r="E87" s="1">
        <v>50</v>
      </c>
      <c r="F87" s="1"/>
    </row>
    <row r="88" spans="1:6" x14ac:dyDescent="0.35">
      <c r="A88" s="1" t="s">
        <v>101</v>
      </c>
      <c r="B88" s="1" t="s">
        <v>9</v>
      </c>
      <c r="C88" s="1" t="s">
        <v>62</v>
      </c>
      <c r="D88" s="1">
        <v>3</v>
      </c>
      <c r="E88" s="1">
        <v>60</v>
      </c>
      <c r="F88" s="1"/>
    </row>
  </sheetData>
  <sortState xmlns:xlrd2="http://schemas.microsoft.com/office/spreadsheetml/2017/richdata2" ref="C2:E88">
    <sortCondition ref="C2:C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05BBC-047B-4493-A149-CE790EFD775A}">
  <dimension ref="A1:AM10"/>
  <sheetViews>
    <sheetView topLeftCell="I1" workbookViewId="0">
      <selection activeCell="AI14" sqref="AI14"/>
    </sheetView>
  </sheetViews>
  <sheetFormatPr defaultRowHeight="14.5" x14ac:dyDescent="0.35"/>
  <cols>
    <col min="1" max="1" width="13.7265625" customWidth="1"/>
    <col min="2" max="2" width="16.54296875" customWidth="1"/>
    <col min="3" max="3" width="22.08984375" customWidth="1"/>
    <col min="4" max="4" width="23.453125" customWidth="1"/>
    <col min="5" max="5" width="18.6328125" customWidth="1"/>
    <col min="6" max="6" width="19.90625" customWidth="1"/>
    <col min="7" max="7" width="16.1796875" customWidth="1"/>
    <col min="8" max="8" width="17.08984375" customWidth="1"/>
    <col min="9" max="9" width="17.1796875" customWidth="1"/>
    <col min="10" max="10" width="17.6328125" customWidth="1"/>
    <col min="11" max="11" width="18.90625" customWidth="1"/>
    <col min="12" max="12" width="20.453125" customWidth="1"/>
    <col min="13" max="13" width="17.54296875" customWidth="1"/>
    <col min="14" max="14" width="17.453125" customWidth="1"/>
    <col min="15" max="15" width="20.54296875" customWidth="1"/>
    <col min="16" max="16" width="21.1796875" customWidth="1"/>
    <col min="17" max="17" width="18.1796875" customWidth="1"/>
    <col min="18" max="18" width="17.90625" customWidth="1"/>
    <col min="19" max="19" width="17.81640625" customWidth="1"/>
    <col min="20" max="20" width="18.1796875" customWidth="1"/>
    <col min="21" max="21" width="16.6328125" customWidth="1"/>
    <col min="22" max="22" width="17.08984375" customWidth="1"/>
    <col min="23" max="23" width="23.90625" customWidth="1"/>
    <col min="24" max="24" width="19.36328125" customWidth="1"/>
    <col min="25" max="25" width="19.26953125" customWidth="1"/>
    <col min="26" max="27" width="17.6328125" customWidth="1"/>
    <col min="28" max="28" width="18" customWidth="1"/>
    <col min="29" max="29" width="17" customWidth="1"/>
    <col min="30" max="30" width="17.90625" customWidth="1"/>
    <col min="31" max="31" width="17.6328125" customWidth="1"/>
    <col min="32" max="32" width="17.453125" customWidth="1"/>
    <col min="33" max="33" width="17.6328125" customWidth="1"/>
    <col min="34" max="34" width="17.08984375" customWidth="1"/>
    <col min="35" max="35" width="17.81640625" customWidth="1"/>
    <col min="36" max="36" width="17.08984375" customWidth="1"/>
    <col min="37" max="37" width="17.90625" customWidth="1"/>
    <col min="38" max="38" width="17.36328125" customWidth="1"/>
    <col min="39" max="39" width="17.54296875" customWidth="1"/>
    <col min="40" max="40" width="17.7265625" customWidth="1"/>
  </cols>
  <sheetData>
    <row r="1" spans="1:39" x14ac:dyDescent="0.35">
      <c r="A1" t="s">
        <v>2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112</v>
      </c>
      <c r="L1" t="s">
        <v>113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124</v>
      </c>
      <c r="W1" t="s">
        <v>127</v>
      </c>
      <c r="X1" t="s">
        <v>128</v>
      </c>
      <c r="Y1" t="s">
        <v>124</v>
      </c>
      <c r="Z1" t="s">
        <v>129</v>
      </c>
      <c r="AA1" t="s">
        <v>130</v>
      </c>
      <c r="AB1" t="s">
        <v>131</v>
      </c>
      <c r="AC1" t="s">
        <v>132</v>
      </c>
      <c r="AD1" t="s">
        <v>130</v>
      </c>
      <c r="AE1" t="s">
        <v>131</v>
      </c>
      <c r="AF1" t="s">
        <v>133</v>
      </c>
      <c r="AG1" t="s">
        <v>130</v>
      </c>
      <c r="AH1" t="s">
        <v>131</v>
      </c>
      <c r="AI1" t="s">
        <v>134</v>
      </c>
      <c r="AJ1" t="s">
        <v>135</v>
      </c>
      <c r="AK1" t="s">
        <v>130</v>
      </c>
      <c r="AL1" t="s">
        <v>131</v>
      </c>
      <c r="AM1" t="s">
        <v>136</v>
      </c>
    </row>
    <row r="2" spans="1:39" x14ac:dyDescent="0.35">
      <c r="A2" t="s">
        <v>53</v>
      </c>
      <c r="B2">
        <f>COUNTIF('Raw Data'!$C$2:$C$9,'Barangay Sumamry'!A2)</f>
        <v>8</v>
      </c>
      <c r="C2">
        <f>SUM('Raw Data'!D2:D9)</f>
        <v>14.3</v>
      </c>
      <c r="D2">
        <f>AVERAGE('Raw Data'!E2:E9)</f>
        <v>38.125</v>
      </c>
      <c r="E2">
        <v>258.66000000000003</v>
      </c>
      <c r="F2">
        <f>(C2/E2)</f>
        <v>5.528493002396969E-2</v>
      </c>
      <c r="G2">
        <f>(B2-MIN($B$2:$B$9))/(MAX($B$2:$B$9)-MIN($B$2:$B$9))</f>
        <v>0.1111111111111111</v>
      </c>
      <c r="H2">
        <f>(C2-MIN($C$2:$C$9))/(MAX($C$2:$C$9)-MIN($C$2:$C$9))</f>
        <v>0.15370705244122967</v>
      </c>
      <c r="I2">
        <f>(D2-MIN($D$2:$D$9))/(MAX($D$2:$D$9)-MIN($D$2:$D$9))</f>
        <v>0.32094594594594594</v>
      </c>
      <c r="J2">
        <f>AVERAGE(G2:I2)</f>
        <v>0.19525470316609558</v>
      </c>
      <c r="K2">
        <f>_xlfn.RANK.EQ(J2,$J$2:$J$9,0)</f>
        <v>5</v>
      </c>
      <c r="L2" t="str">
        <f>IF(J2&lt;=0.2,"Low",IF(J2&lt;=0.4,"Moderate",IF(J2&lt;=0.6,"High","Very High")))</f>
        <v>Low</v>
      </c>
      <c r="M2">
        <f>_xlfn.RANK.EQ(B2,$B$2:$B$9,0)</f>
        <v>4</v>
      </c>
      <c r="N2">
        <f>K2-M2</f>
        <v>1</v>
      </c>
      <c r="O2">
        <f>ABS(N2)</f>
        <v>1</v>
      </c>
      <c r="P2">
        <f>CORREL(M2:M9,K2:K9)</f>
        <v>0.35093120317179821</v>
      </c>
      <c r="Q2">
        <f>0.5*G2+0.25*H2+0.25*I2</f>
        <v>0.17421880515234944</v>
      </c>
      <c r="R2">
        <f>_xlfn.RANK.EQ(Q2,$Q$2:$Q$9,0)</f>
        <v>5</v>
      </c>
      <c r="S2">
        <f>R2-K2</f>
        <v>0</v>
      </c>
      <c r="T2">
        <f>0.25*G2+0.5*H2+0.25*I2</f>
        <v>0.18486779048487911</v>
      </c>
      <c r="U2">
        <f>_xlfn.RANK.EQ(T2,$T$2:$T$9,0)</f>
        <v>5</v>
      </c>
      <c r="V2">
        <f>U2-K2</f>
        <v>0</v>
      </c>
      <c r="W2">
        <f>0.25*G2+0.25*H2+0.5*I2</f>
        <v>0.22667751386105817</v>
      </c>
      <c r="X2">
        <f>_xlfn.RANK.EQ(W2,W2:W9,0)</f>
        <v>6</v>
      </c>
      <c r="Y2">
        <f>X2-K2</f>
        <v>1</v>
      </c>
      <c r="Z2">
        <f>AVERAGE(H2:I2)</f>
        <v>0.23732649919358781</v>
      </c>
      <c r="AA2">
        <f>_xlfn.RANK.EQ(Z2,$Z$2:$Z$9,0)</f>
        <v>6</v>
      </c>
      <c r="AB2">
        <f>AA2-K2</f>
        <v>1</v>
      </c>
      <c r="AC2">
        <f>AVERAGE(G2,I2)</f>
        <v>0.21602852852852852</v>
      </c>
      <c r="AD2">
        <f>_xlfn.RANK.EQ(AC2,$AC$2:$AC$9,0)</f>
        <v>6</v>
      </c>
      <c r="AE2">
        <f>AD2-K2</f>
        <v>1</v>
      </c>
      <c r="AF2">
        <f>AVERAGE(G2,H2)</f>
        <v>0.13240908177617039</v>
      </c>
      <c r="AG2">
        <f>_xlfn.RANK.EQ(AF2,$AF$2:$AF$9,0)</f>
        <v>3</v>
      </c>
      <c r="AH2">
        <f>AG2-K2</f>
        <v>-2</v>
      </c>
      <c r="AI2">
        <f>(F2-MIN($F$2:$F$9))/(MAX($F$2:$F$9)-MIN($F$2:$F$9))</f>
        <v>0.43257353513027597</v>
      </c>
      <c r="AJ2">
        <f>AVERAGE(AI2,G2,I2)</f>
        <v>0.28821019739577769</v>
      </c>
      <c r="AK2">
        <f>_xlfn.RANK.EQ(AJ2,$AJ$2:$AJ$9,0)</f>
        <v>3</v>
      </c>
      <c r="AL2">
        <f>AK2-K2</f>
        <v>-2</v>
      </c>
      <c r="AM2">
        <f>ABS(AL2)</f>
        <v>2</v>
      </c>
    </row>
    <row r="3" spans="1:39" x14ac:dyDescent="0.35">
      <c r="A3" t="s">
        <v>18</v>
      </c>
      <c r="B3">
        <f>COUNTIF('Raw Data'!$C$10:$C$15,'Barangay Sumamry'!A3)</f>
        <v>6</v>
      </c>
      <c r="C3">
        <f>SUM('Raw Data'!D10:D15)</f>
        <v>5.8000000000000007</v>
      </c>
      <c r="D3">
        <f>AVERAGE('Raw Data'!E10:E15)</f>
        <v>18.333333333333332</v>
      </c>
      <c r="E3">
        <v>516.74</v>
      </c>
      <c r="F3">
        <f t="shared" ref="F3:F9" si="0">(C3/E3)</f>
        <v>1.1224213337461781E-2</v>
      </c>
      <c r="G3">
        <f t="shared" ref="G3:G9" si="1">(B3-MIN($B$2:$B$9))/(MAX($B$2:$B$9)-MIN($B$2:$B$9))</f>
        <v>5.5555555555555552E-2</v>
      </c>
      <c r="H3">
        <f t="shared" ref="H3:H9" si="2">(C3-MIN($C$2:$C$9))/(MAX($C$2:$C$9)-MIN($C$2:$C$9))</f>
        <v>0</v>
      </c>
      <c r="I3">
        <f t="shared" ref="I3:I9" si="3">(D3-MIN($D$2:$D$9))/(MAX($D$2:$D$9)-MIN($D$2:$D$9))</f>
        <v>0</v>
      </c>
      <c r="J3">
        <f t="shared" ref="J3:J9" si="4">AVERAGE(G3:I3)</f>
        <v>1.8518518518518517E-2</v>
      </c>
      <c r="K3">
        <f t="shared" ref="K3:K9" si="5">_xlfn.RANK.EQ(J3,$J$2:$J$9,0)</f>
        <v>8</v>
      </c>
      <c r="L3" t="str">
        <f t="shared" ref="L3:L9" si="6">IF(J3&lt;=0.2,"Low",IF(J3&lt;=0.4,"Moderate",IF(J3&lt;=0.6,"High","Very High")))</f>
        <v>Low</v>
      </c>
      <c r="M3">
        <f t="shared" ref="M3:M9" si="7">_xlfn.RANK.EQ(B3,$B$2:$B$9,0)</f>
        <v>5</v>
      </c>
      <c r="N3">
        <f t="shared" ref="N3:N9" si="8">K3-M3</f>
        <v>3</v>
      </c>
      <c r="O3">
        <f t="shared" ref="O3:O9" si="9">ABS(N3)</f>
        <v>3</v>
      </c>
      <c r="Q3">
        <f t="shared" ref="Q3:Q9" si="10">0.5*G3+0.25*H3+0.25*I3</f>
        <v>2.7777777777777776E-2</v>
      </c>
      <c r="R3">
        <f t="shared" ref="R3:R9" si="11">_xlfn.RANK.EQ(Q3,$Q$2:$Q$9,0)</f>
        <v>8</v>
      </c>
      <c r="S3">
        <f t="shared" ref="S3:S9" si="12">R3-K3</f>
        <v>0</v>
      </c>
      <c r="T3">
        <f t="shared" ref="T3:T9" si="13">0.25*G3+0.5*H3+0.25*I3</f>
        <v>1.3888888888888888E-2</v>
      </c>
      <c r="U3">
        <f t="shared" ref="U3:U9" si="14">_xlfn.RANK.EQ(T3,$T$2:$T$9,0)</f>
        <v>8</v>
      </c>
      <c r="V3">
        <f t="shared" ref="V3:V9" si="15">U3-K3</f>
        <v>0</v>
      </c>
      <c r="W3">
        <f t="shared" ref="W3:W9" si="16">0.25*G3+0.25*H3+0.5*I3</f>
        <v>1.3888888888888888E-2</v>
      </c>
      <c r="X3">
        <f t="shared" ref="X3:X9" si="17">_xlfn.RANK.EQ(W3,W3:W10,0)</f>
        <v>7</v>
      </c>
      <c r="Y3">
        <f t="shared" ref="Y3:Y9" si="18">X3-K3</f>
        <v>-1</v>
      </c>
      <c r="Z3">
        <f t="shared" ref="Z3:Z9" si="19">AVERAGE(H3:I3)</f>
        <v>0</v>
      </c>
      <c r="AA3">
        <f t="shared" ref="AA3:AA9" si="20">_xlfn.RANK.EQ(Z3,$Z$2:$Z$9,0)</f>
        <v>8</v>
      </c>
      <c r="AB3">
        <f t="shared" ref="AB3:AB9" si="21">AA3-K3</f>
        <v>0</v>
      </c>
      <c r="AC3">
        <f t="shared" ref="AC3:AC9" si="22">AVERAGE(G3,I3)</f>
        <v>2.7777777777777776E-2</v>
      </c>
      <c r="AD3">
        <f t="shared" ref="AD3:AD9" si="23">_xlfn.RANK.EQ(AC3,$AC$2:$AC$9,0)</f>
        <v>8</v>
      </c>
      <c r="AE3">
        <f t="shared" ref="AE3:AE9" si="24">AD3-K3</f>
        <v>0</v>
      </c>
      <c r="AF3">
        <f t="shared" ref="AF3:AF9" si="25">AVERAGE(G3,H3)</f>
        <v>2.7777777777777776E-2</v>
      </c>
      <c r="AG3">
        <f t="shared" ref="AG3:AG9" si="26">_xlfn.RANK.EQ(AF3,$AF$2:$AF$9,0)</f>
        <v>6</v>
      </c>
      <c r="AH3">
        <f t="shared" ref="AH3:AH9" si="27">AG3-K3</f>
        <v>-2</v>
      </c>
      <c r="AI3">
        <f t="shared" ref="AI3:AI9" si="28">(F3-MIN($F$2:$F$9))/(MAX($F$2:$F$9)-MIN($F$2:$F$9))</f>
        <v>6.7549574346489366E-2</v>
      </c>
      <c r="AJ3">
        <f t="shared" ref="AJ3:AJ9" si="29">AVERAGE(AI3,G3,I3)</f>
        <v>4.103504330068164E-2</v>
      </c>
      <c r="AK3">
        <f t="shared" ref="AK3:AK9" si="30">_xlfn.RANK.EQ(AJ3,$AJ$2:$AJ$9,0)</f>
        <v>8</v>
      </c>
      <c r="AL3">
        <f t="shared" ref="AL3:AL9" si="31">AK3-K3</f>
        <v>0</v>
      </c>
      <c r="AM3">
        <f t="shared" ref="AM3:AM9" si="32">ABS(AL3)</f>
        <v>0</v>
      </c>
    </row>
    <row r="4" spans="1:39" x14ac:dyDescent="0.35">
      <c r="A4" t="s">
        <v>7</v>
      </c>
      <c r="B4">
        <f>COUNTIF('Raw Data'!$C$16:$C$24,'Barangay Sumamry'!A4)</f>
        <v>9</v>
      </c>
      <c r="C4">
        <f>SUM('Raw Data'!D16:D24)</f>
        <v>9.8299999999999983</v>
      </c>
      <c r="D4">
        <f>AVERAGE('Raw Data'!E16:E24)</f>
        <v>33.333333333333336</v>
      </c>
      <c r="E4">
        <v>440.86</v>
      </c>
      <c r="F4">
        <f t="shared" si="0"/>
        <v>2.2297327949916068E-2</v>
      </c>
      <c r="G4">
        <f t="shared" si="1"/>
        <v>0.1388888888888889</v>
      </c>
      <c r="H4">
        <f t="shared" si="2"/>
        <v>7.2875226039782956E-2</v>
      </c>
      <c r="I4">
        <f t="shared" si="3"/>
        <v>0.24324324324324328</v>
      </c>
      <c r="J4">
        <f t="shared" si="4"/>
        <v>0.1516691193906384</v>
      </c>
      <c r="K4">
        <f t="shared" si="5"/>
        <v>7</v>
      </c>
      <c r="L4" t="str">
        <f t="shared" si="6"/>
        <v>Low</v>
      </c>
      <c r="M4">
        <f t="shared" si="7"/>
        <v>2</v>
      </c>
      <c r="N4">
        <f t="shared" si="8"/>
        <v>5</v>
      </c>
      <c r="O4">
        <f t="shared" si="9"/>
        <v>5</v>
      </c>
      <c r="Q4">
        <f t="shared" si="10"/>
        <v>0.148474061765201</v>
      </c>
      <c r="R4">
        <f t="shared" si="11"/>
        <v>6</v>
      </c>
      <c r="S4">
        <f t="shared" si="12"/>
        <v>-1</v>
      </c>
      <c r="T4">
        <f t="shared" si="13"/>
        <v>0.13197064605292452</v>
      </c>
      <c r="U4">
        <f t="shared" si="14"/>
        <v>7</v>
      </c>
      <c r="V4">
        <f t="shared" si="15"/>
        <v>0</v>
      </c>
      <c r="W4">
        <f t="shared" si="16"/>
        <v>0.17456265035378959</v>
      </c>
      <c r="X4">
        <f t="shared" si="17"/>
        <v>6</v>
      </c>
      <c r="Y4">
        <f t="shared" si="18"/>
        <v>-1</v>
      </c>
      <c r="Z4">
        <f t="shared" si="19"/>
        <v>0.15805923464151311</v>
      </c>
      <c r="AA4">
        <f t="shared" si="20"/>
        <v>7</v>
      </c>
      <c r="AB4">
        <f t="shared" si="21"/>
        <v>0</v>
      </c>
      <c r="AC4">
        <f t="shared" si="22"/>
        <v>0.19106606606606608</v>
      </c>
      <c r="AD4">
        <f t="shared" si="23"/>
        <v>7</v>
      </c>
      <c r="AE4">
        <f t="shared" si="24"/>
        <v>0</v>
      </c>
      <c r="AF4">
        <f t="shared" si="25"/>
        <v>0.10588205746433593</v>
      </c>
      <c r="AG4">
        <f t="shared" si="26"/>
        <v>4</v>
      </c>
      <c r="AH4">
        <f t="shared" si="27"/>
        <v>-3</v>
      </c>
      <c r="AI4">
        <f t="shared" si="28"/>
        <v>0.15928553458538847</v>
      </c>
      <c r="AJ4">
        <f t="shared" si="29"/>
        <v>0.18047255557250688</v>
      </c>
      <c r="AK4">
        <f t="shared" si="30"/>
        <v>7</v>
      </c>
      <c r="AL4">
        <f t="shared" si="31"/>
        <v>0</v>
      </c>
      <c r="AM4">
        <f t="shared" si="32"/>
        <v>0</v>
      </c>
    </row>
    <row r="5" spans="1:39" x14ac:dyDescent="0.35">
      <c r="A5" t="s">
        <v>35</v>
      </c>
      <c r="B5">
        <f>COUNTIF('Raw Data'!$C$25:$C$29,'Barangay Sumamry'!A5)</f>
        <v>5</v>
      </c>
      <c r="C5">
        <f>SUM('Raw Data'!D25:D29)</f>
        <v>6.6</v>
      </c>
      <c r="D5">
        <f>AVERAGE('Raw Data'!E25:E29)</f>
        <v>64</v>
      </c>
      <c r="E5">
        <v>504.93</v>
      </c>
      <c r="F5">
        <f t="shared" si="0"/>
        <v>1.3071118768938269E-2</v>
      </c>
      <c r="G5">
        <f t="shared" si="1"/>
        <v>2.7777777777777776E-2</v>
      </c>
      <c r="H5">
        <f t="shared" si="2"/>
        <v>1.4466546112115715E-2</v>
      </c>
      <c r="I5">
        <f t="shared" si="3"/>
        <v>0.74054054054054053</v>
      </c>
      <c r="J5">
        <f t="shared" si="4"/>
        <v>0.26092828814347802</v>
      </c>
      <c r="K5">
        <f t="shared" si="5"/>
        <v>3</v>
      </c>
      <c r="L5" t="str">
        <f t="shared" si="6"/>
        <v>Moderate</v>
      </c>
      <c r="M5">
        <f t="shared" si="7"/>
        <v>7</v>
      </c>
      <c r="N5">
        <f t="shared" si="8"/>
        <v>-4</v>
      </c>
      <c r="O5">
        <f t="shared" si="9"/>
        <v>4</v>
      </c>
      <c r="Q5">
        <f t="shared" si="10"/>
        <v>0.20264066055205296</v>
      </c>
      <c r="R5">
        <f t="shared" si="11"/>
        <v>3</v>
      </c>
      <c r="S5">
        <f t="shared" si="12"/>
        <v>0</v>
      </c>
      <c r="T5">
        <f t="shared" si="13"/>
        <v>0.19931285263563744</v>
      </c>
      <c r="U5">
        <f t="shared" si="14"/>
        <v>3</v>
      </c>
      <c r="V5">
        <f t="shared" si="15"/>
        <v>0</v>
      </c>
      <c r="W5">
        <f t="shared" si="16"/>
        <v>0.38083135124274364</v>
      </c>
      <c r="X5">
        <f t="shared" si="17"/>
        <v>3</v>
      </c>
      <c r="Y5">
        <f t="shared" si="18"/>
        <v>0</v>
      </c>
      <c r="Z5">
        <f t="shared" si="19"/>
        <v>0.37750354332632813</v>
      </c>
      <c r="AA5">
        <f t="shared" si="20"/>
        <v>3</v>
      </c>
      <c r="AB5">
        <f t="shared" si="21"/>
        <v>0</v>
      </c>
      <c r="AC5">
        <f t="shared" si="22"/>
        <v>0.38415915915915916</v>
      </c>
      <c r="AD5">
        <f t="shared" si="23"/>
        <v>3</v>
      </c>
      <c r="AE5">
        <f t="shared" si="24"/>
        <v>0</v>
      </c>
      <c r="AF5">
        <f t="shared" si="25"/>
        <v>2.1122161944946746E-2</v>
      </c>
      <c r="AG5">
        <f t="shared" si="26"/>
        <v>7</v>
      </c>
      <c r="AH5">
        <f t="shared" si="27"/>
        <v>4</v>
      </c>
      <c r="AI5">
        <f t="shared" si="28"/>
        <v>8.2850386191819059E-2</v>
      </c>
      <c r="AJ5">
        <f t="shared" si="29"/>
        <v>0.28372290150337914</v>
      </c>
      <c r="AK5">
        <f t="shared" si="30"/>
        <v>4</v>
      </c>
      <c r="AL5">
        <f t="shared" si="31"/>
        <v>1</v>
      </c>
      <c r="AM5">
        <f t="shared" si="32"/>
        <v>1</v>
      </c>
    </row>
    <row r="6" spans="1:39" x14ac:dyDescent="0.35">
      <c r="A6" t="s">
        <v>25</v>
      </c>
      <c r="B6">
        <f>COUNTIF('Raw Data'!$C$30:$C$38,'Barangay Sumamry'!A6)</f>
        <v>9</v>
      </c>
      <c r="C6">
        <f>SUM('Raw Data'!D30:D38)</f>
        <v>19.810000000000002</v>
      </c>
      <c r="D6">
        <f>AVERAGE('Raw Data'!E30:E38)</f>
        <v>80</v>
      </c>
      <c r="E6">
        <v>420.3</v>
      </c>
      <c r="F6">
        <f t="shared" si="0"/>
        <v>4.7133000237925299E-2</v>
      </c>
      <c r="G6">
        <f t="shared" si="1"/>
        <v>0.1388888888888889</v>
      </c>
      <c r="H6">
        <f t="shared" si="2"/>
        <v>0.25334538878842683</v>
      </c>
      <c r="I6">
        <f t="shared" si="3"/>
        <v>1</v>
      </c>
      <c r="J6">
        <f t="shared" si="4"/>
        <v>0.46407809255910526</v>
      </c>
      <c r="K6">
        <f t="shared" si="5"/>
        <v>2</v>
      </c>
      <c r="L6" t="str">
        <f t="shared" si="6"/>
        <v>High</v>
      </c>
      <c r="M6">
        <f t="shared" si="7"/>
        <v>2</v>
      </c>
      <c r="N6">
        <f t="shared" si="8"/>
        <v>0</v>
      </c>
      <c r="O6">
        <f t="shared" si="9"/>
        <v>0</v>
      </c>
      <c r="Q6">
        <f t="shared" si="10"/>
        <v>0.38278079164155115</v>
      </c>
      <c r="R6">
        <f t="shared" si="11"/>
        <v>2</v>
      </c>
      <c r="S6">
        <f t="shared" si="12"/>
        <v>0</v>
      </c>
      <c r="T6">
        <f t="shared" si="13"/>
        <v>0.41139491661643562</v>
      </c>
      <c r="U6">
        <f t="shared" si="14"/>
        <v>2</v>
      </c>
      <c r="V6">
        <f t="shared" si="15"/>
        <v>0</v>
      </c>
      <c r="W6">
        <f t="shared" si="16"/>
        <v>0.59805856941932889</v>
      </c>
      <c r="X6">
        <f t="shared" si="17"/>
        <v>2</v>
      </c>
      <c r="Y6">
        <f t="shared" si="18"/>
        <v>0</v>
      </c>
      <c r="Z6">
        <f t="shared" si="19"/>
        <v>0.62667269439421336</v>
      </c>
      <c r="AA6">
        <f t="shared" si="20"/>
        <v>2</v>
      </c>
      <c r="AB6">
        <f t="shared" si="21"/>
        <v>0</v>
      </c>
      <c r="AC6">
        <f t="shared" si="22"/>
        <v>0.56944444444444442</v>
      </c>
      <c r="AD6">
        <f t="shared" si="23"/>
        <v>2</v>
      </c>
      <c r="AE6">
        <f t="shared" si="24"/>
        <v>0</v>
      </c>
      <c r="AF6">
        <f t="shared" si="25"/>
        <v>0.19611713883865786</v>
      </c>
      <c r="AG6">
        <f t="shared" si="26"/>
        <v>2</v>
      </c>
      <c r="AH6">
        <f t="shared" si="27"/>
        <v>0</v>
      </c>
      <c r="AI6">
        <f t="shared" si="28"/>
        <v>0.36503832639309164</v>
      </c>
      <c r="AJ6">
        <f t="shared" si="29"/>
        <v>0.5013090717606602</v>
      </c>
      <c r="AK6">
        <f t="shared" si="30"/>
        <v>2</v>
      </c>
      <c r="AL6">
        <f t="shared" si="31"/>
        <v>0</v>
      </c>
      <c r="AM6">
        <f t="shared" si="32"/>
        <v>0</v>
      </c>
    </row>
    <row r="7" spans="1:39" x14ac:dyDescent="0.35">
      <c r="A7" t="s">
        <v>41</v>
      </c>
      <c r="B7">
        <f>COUNTIF('Raw Data'!$C$39:$C$42,'Barangay Sumamry'!A7)</f>
        <v>4</v>
      </c>
      <c r="C7">
        <f>SUM('Raw Data'!D39:D42)</f>
        <v>6.3</v>
      </c>
      <c r="D7">
        <f>AVERAGE('Raw Data'!E39:E42)</f>
        <v>52.5</v>
      </c>
      <c r="E7" s="2">
        <v>2051.75</v>
      </c>
      <c r="F7">
        <f t="shared" si="0"/>
        <v>3.0705495308882662E-3</v>
      </c>
      <c r="G7">
        <f t="shared" si="1"/>
        <v>0</v>
      </c>
      <c r="H7">
        <f t="shared" si="2"/>
        <v>9.0415913200723175E-3</v>
      </c>
      <c r="I7">
        <f t="shared" si="3"/>
        <v>0.55405405405405406</v>
      </c>
      <c r="J7">
        <f t="shared" si="4"/>
        <v>0.18769854845804212</v>
      </c>
      <c r="K7">
        <f t="shared" si="5"/>
        <v>6</v>
      </c>
      <c r="L7" t="str">
        <f t="shared" si="6"/>
        <v>Low</v>
      </c>
      <c r="M7">
        <f t="shared" si="7"/>
        <v>8</v>
      </c>
      <c r="N7">
        <f t="shared" si="8"/>
        <v>-2</v>
      </c>
      <c r="O7">
        <f t="shared" si="9"/>
        <v>2</v>
      </c>
      <c r="Q7">
        <f t="shared" si="10"/>
        <v>0.14077391134353159</v>
      </c>
      <c r="R7">
        <f t="shared" si="11"/>
        <v>7</v>
      </c>
      <c r="S7">
        <f t="shared" si="12"/>
        <v>1</v>
      </c>
      <c r="T7">
        <f t="shared" si="13"/>
        <v>0.14303430917354967</v>
      </c>
      <c r="U7">
        <f t="shared" si="14"/>
        <v>6</v>
      </c>
      <c r="V7">
        <f t="shared" si="15"/>
        <v>0</v>
      </c>
      <c r="W7">
        <f t="shared" si="16"/>
        <v>0.27928742485704511</v>
      </c>
      <c r="X7">
        <f t="shared" si="17"/>
        <v>3</v>
      </c>
      <c r="Y7">
        <f t="shared" si="18"/>
        <v>-3</v>
      </c>
      <c r="Z7">
        <f t="shared" si="19"/>
        <v>0.28154782268706319</v>
      </c>
      <c r="AA7">
        <f t="shared" si="20"/>
        <v>5</v>
      </c>
      <c r="AB7">
        <f t="shared" si="21"/>
        <v>-1</v>
      </c>
      <c r="AC7">
        <f t="shared" si="22"/>
        <v>0.27702702702702703</v>
      </c>
      <c r="AD7">
        <f t="shared" si="23"/>
        <v>5</v>
      </c>
      <c r="AE7">
        <f t="shared" si="24"/>
        <v>-1</v>
      </c>
      <c r="AF7">
        <f t="shared" si="25"/>
        <v>4.5207956600361587E-3</v>
      </c>
      <c r="AG7">
        <f t="shared" si="26"/>
        <v>8</v>
      </c>
      <c r="AH7">
        <f t="shared" si="27"/>
        <v>2</v>
      </c>
      <c r="AI7">
        <f t="shared" si="28"/>
        <v>0</v>
      </c>
      <c r="AJ7">
        <f t="shared" si="29"/>
        <v>0.18468468468468469</v>
      </c>
      <c r="AK7">
        <f t="shared" si="30"/>
        <v>6</v>
      </c>
      <c r="AL7">
        <f t="shared" si="31"/>
        <v>0</v>
      </c>
      <c r="AM7">
        <f t="shared" si="32"/>
        <v>0</v>
      </c>
    </row>
    <row r="8" spans="1:39" x14ac:dyDescent="0.35">
      <c r="A8" t="s">
        <v>46</v>
      </c>
      <c r="B8">
        <f>COUNTIF('Raw Data'!$C$43:$C$48,'Barangay Sumamry'!A8)</f>
        <v>6</v>
      </c>
      <c r="C8">
        <f>SUM('Raw Data'!D43:D48)</f>
        <v>7.6300000000000008</v>
      </c>
      <c r="D8">
        <f>AVERAGE('Raw Data'!E43:E48)</f>
        <v>58.333333333333336</v>
      </c>
      <c r="E8">
        <v>464.14</v>
      </c>
      <c r="F8">
        <f t="shared" si="0"/>
        <v>1.6439005472486751E-2</v>
      </c>
      <c r="G8">
        <f t="shared" si="1"/>
        <v>5.5555555555555552E-2</v>
      </c>
      <c r="H8">
        <f t="shared" si="2"/>
        <v>3.309222423146474E-2</v>
      </c>
      <c r="I8">
        <f t="shared" si="3"/>
        <v>0.64864864864864857</v>
      </c>
      <c r="J8">
        <f t="shared" si="4"/>
        <v>0.24576547614522296</v>
      </c>
      <c r="K8">
        <f t="shared" si="5"/>
        <v>4</v>
      </c>
      <c r="L8" t="str">
        <f t="shared" si="6"/>
        <v>Moderate</v>
      </c>
      <c r="M8">
        <f t="shared" si="7"/>
        <v>5</v>
      </c>
      <c r="N8">
        <f t="shared" si="8"/>
        <v>-1</v>
      </c>
      <c r="O8">
        <f t="shared" si="9"/>
        <v>1</v>
      </c>
      <c r="Q8">
        <f t="shared" si="10"/>
        <v>0.19821299599780612</v>
      </c>
      <c r="R8">
        <f t="shared" si="11"/>
        <v>4</v>
      </c>
      <c r="S8">
        <f t="shared" si="12"/>
        <v>0</v>
      </c>
      <c r="T8">
        <f t="shared" si="13"/>
        <v>0.19259716316678341</v>
      </c>
      <c r="U8">
        <f t="shared" si="14"/>
        <v>4</v>
      </c>
      <c r="V8">
        <f t="shared" si="15"/>
        <v>0</v>
      </c>
      <c r="W8">
        <f t="shared" si="16"/>
        <v>0.34648626927107934</v>
      </c>
      <c r="X8">
        <f t="shared" si="17"/>
        <v>2</v>
      </c>
      <c r="Y8">
        <f t="shared" si="18"/>
        <v>-2</v>
      </c>
      <c r="Z8">
        <f t="shared" si="19"/>
        <v>0.34087043644005666</v>
      </c>
      <c r="AA8">
        <f t="shared" si="20"/>
        <v>4</v>
      </c>
      <c r="AB8">
        <f t="shared" si="21"/>
        <v>0</v>
      </c>
      <c r="AC8">
        <f t="shared" si="22"/>
        <v>0.35210210210210208</v>
      </c>
      <c r="AD8">
        <f t="shared" si="23"/>
        <v>4</v>
      </c>
      <c r="AE8">
        <f t="shared" si="24"/>
        <v>0</v>
      </c>
      <c r="AF8">
        <f t="shared" si="25"/>
        <v>4.4323889893510146E-2</v>
      </c>
      <c r="AG8">
        <f t="shared" si="26"/>
        <v>5</v>
      </c>
      <c r="AH8">
        <f t="shared" si="27"/>
        <v>1</v>
      </c>
      <c r="AI8">
        <f t="shared" si="28"/>
        <v>0.11075186933716169</v>
      </c>
      <c r="AJ8">
        <f t="shared" si="29"/>
        <v>0.27165202451378861</v>
      </c>
      <c r="AK8">
        <f t="shared" si="30"/>
        <v>5</v>
      </c>
      <c r="AL8">
        <f t="shared" si="31"/>
        <v>1</v>
      </c>
      <c r="AM8">
        <f t="shared" si="32"/>
        <v>1</v>
      </c>
    </row>
    <row r="9" spans="1:39" x14ac:dyDescent="0.35">
      <c r="A9" t="s">
        <v>62</v>
      </c>
      <c r="B9">
        <f>COUNTIF('Raw Data'!$C$49:$C$88,'Barangay Sumamry'!A9)</f>
        <v>40</v>
      </c>
      <c r="C9">
        <f>SUM('Raw Data'!D49:D88)</f>
        <v>61.099999999999994</v>
      </c>
      <c r="D9">
        <f>AVERAGE('Raw Data'!E49:E88)</f>
        <v>51.625</v>
      </c>
      <c r="E9">
        <v>493.63</v>
      </c>
      <c r="F9">
        <f t="shared" si="0"/>
        <v>0.12377691793448534</v>
      </c>
      <c r="G9">
        <f t="shared" si="1"/>
        <v>1</v>
      </c>
      <c r="H9">
        <f t="shared" si="2"/>
        <v>1</v>
      </c>
      <c r="I9">
        <f t="shared" si="3"/>
        <v>0.53986486486486485</v>
      </c>
      <c r="J9">
        <f t="shared" si="4"/>
        <v>0.84662162162162158</v>
      </c>
      <c r="K9">
        <f t="shared" si="5"/>
        <v>1</v>
      </c>
      <c r="L9" t="str">
        <f t="shared" si="6"/>
        <v>Very High</v>
      </c>
      <c r="M9">
        <f t="shared" si="7"/>
        <v>1</v>
      </c>
      <c r="N9">
        <f t="shared" si="8"/>
        <v>0</v>
      </c>
      <c r="O9">
        <f t="shared" si="9"/>
        <v>0</v>
      </c>
      <c r="Q9">
        <f t="shared" si="10"/>
        <v>0.88496621621621618</v>
      </c>
      <c r="R9">
        <f t="shared" si="11"/>
        <v>1</v>
      </c>
      <c r="S9">
        <f t="shared" si="12"/>
        <v>0</v>
      </c>
      <c r="T9">
        <f t="shared" si="13"/>
        <v>0.88496621621621618</v>
      </c>
      <c r="U9">
        <f t="shared" si="14"/>
        <v>1</v>
      </c>
      <c r="V9">
        <f t="shared" si="15"/>
        <v>0</v>
      </c>
      <c r="W9">
        <f t="shared" si="16"/>
        <v>0.76993243243243237</v>
      </c>
      <c r="X9">
        <f t="shared" si="17"/>
        <v>1</v>
      </c>
      <c r="Y9">
        <f t="shared" si="18"/>
        <v>0</v>
      </c>
      <c r="Z9">
        <f t="shared" si="19"/>
        <v>0.76993243243243237</v>
      </c>
      <c r="AA9">
        <f t="shared" si="20"/>
        <v>1</v>
      </c>
      <c r="AB9">
        <f t="shared" si="21"/>
        <v>0</v>
      </c>
      <c r="AC9">
        <f t="shared" si="22"/>
        <v>0.76993243243243237</v>
      </c>
      <c r="AD9">
        <f t="shared" si="23"/>
        <v>1</v>
      </c>
      <c r="AE9">
        <f t="shared" si="24"/>
        <v>0</v>
      </c>
      <c r="AF9">
        <f t="shared" si="25"/>
        <v>1</v>
      </c>
      <c r="AG9">
        <f t="shared" si="26"/>
        <v>1</v>
      </c>
      <c r="AH9">
        <f t="shared" si="27"/>
        <v>0</v>
      </c>
      <c r="AI9">
        <f t="shared" si="28"/>
        <v>1</v>
      </c>
      <c r="AJ9">
        <f t="shared" si="29"/>
        <v>0.84662162162162158</v>
      </c>
      <c r="AK9">
        <f t="shared" si="30"/>
        <v>1</v>
      </c>
      <c r="AL9">
        <f t="shared" si="31"/>
        <v>0</v>
      </c>
      <c r="AM9">
        <f t="shared" si="32"/>
        <v>0</v>
      </c>
    </row>
    <row r="10" spans="1:39" x14ac:dyDescent="0.35">
      <c r="B10">
        <f>SUM(B2:B9)</f>
        <v>87</v>
      </c>
    </row>
  </sheetData>
  <sortState xmlns:xlrd2="http://schemas.microsoft.com/office/spreadsheetml/2017/richdata2" ref="A2:A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C6D6C-0541-4F4B-8EEB-22E89FF8B574}">
  <dimension ref="A1:E9"/>
  <sheetViews>
    <sheetView workbookViewId="0">
      <selection activeCell="E2" sqref="E2"/>
    </sheetView>
  </sheetViews>
  <sheetFormatPr defaultRowHeight="14.5" x14ac:dyDescent="0.35"/>
  <cols>
    <col min="1" max="1" width="16.26953125" customWidth="1"/>
    <col min="2" max="2" width="15.1796875" customWidth="1"/>
    <col min="3" max="3" width="15.7265625" customWidth="1"/>
    <col min="4" max="4" width="16" customWidth="1"/>
    <col min="5" max="5" width="14.453125" customWidth="1"/>
  </cols>
  <sheetData>
    <row r="1" spans="1:5" x14ac:dyDescent="0.35">
      <c r="A1" t="s">
        <v>2</v>
      </c>
      <c r="B1" t="s">
        <v>107</v>
      </c>
      <c r="C1" t="s">
        <v>108</v>
      </c>
      <c r="D1" t="s">
        <v>109</v>
      </c>
      <c r="E1" s="4" t="s">
        <v>110</v>
      </c>
    </row>
    <row r="2" spans="1:5" x14ac:dyDescent="0.35">
      <c r="A2" t="s">
        <v>53</v>
      </c>
      <c r="B2">
        <v>0.1111111111111111</v>
      </c>
      <c r="C2">
        <v>0.15370705244122967</v>
      </c>
      <c r="D2">
        <v>0.32094594594594594</v>
      </c>
      <c r="E2">
        <v>0.19525470316609558</v>
      </c>
    </row>
    <row r="3" spans="1:5" x14ac:dyDescent="0.35">
      <c r="A3" t="s">
        <v>18</v>
      </c>
      <c r="B3">
        <v>5.5555555555555552E-2</v>
      </c>
      <c r="C3">
        <v>0</v>
      </c>
      <c r="D3">
        <v>0</v>
      </c>
      <c r="E3">
        <v>1.8518518518518517E-2</v>
      </c>
    </row>
    <row r="4" spans="1:5" x14ac:dyDescent="0.35">
      <c r="A4" t="s">
        <v>7</v>
      </c>
      <c r="B4">
        <v>0.1388888888888889</v>
      </c>
      <c r="C4">
        <v>7.2875226039782956E-2</v>
      </c>
      <c r="D4">
        <v>0.24324324324324328</v>
      </c>
      <c r="E4">
        <v>0.1516691193906384</v>
      </c>
    </row>
    <row r="5" spans="1:5" x14ac:dyDescent="0.35">
      <c r="A5" t="s">
        <v>35</v>
      </c>
      <c r="B5">
        <v>2.7777777777777776E-2</v>
      </c>
      <c r="C5">
        <v>1.4466546112115715E-2</v>
      </c>
      <c r="D5">
        <v>0.74054054054054053</v>
      </c>
      <c r="E5">
        <v>0.26092828814347802</v>
      </c>
    </row>
    <row r="6" spans="1:5" x14ac:dyDescent="0.35">
      <c r="A6" t="s">
        <v>25</v>
      </c>
      <c r="B6">
        <v>0.1388888888888889</v>
      </c>
      <c r="C6">
        <v>0.25334538878842683</v>
      </c>
      <c r="D6">
        <v>1</v>
      </c>
      <c r="E6">
        <v>0.46407809255910526</v>
      </c>
    </row>
    <row r="7" spans="1:5" x14ac:dyDescent="0.35">
      <c r="A7" t="s">
        <v>41</v>
      </c>
      <c r="B7">
        <v>0</v>
      </c>
      <c r="C7">
        <v>9.0415913200723175E-3</v>
      </c>
      <c r="D7">
        <v>0.55405405405405406</v>
      </c>
      <c r="E7">
        <v>0.18769854845804212</v>
      </c>
    </row>
    <row r="8" spans="1:5" x14ac:dyDescent="0.35">
      <c r="A8" t="s">
        <v>46</v>
      </c>
      <c r="B8">
        <v>5.5555555555555552E-2</v>
      </c>
      <c r="C8">
        <v>3.309222423146474E-2</v>
      </c>
      <c r="D8">
        <v>0.64864864864864857</v>
      </c>
      <c r="E8">
        <v>0.24576547614522296</v>
      </c>
    </row>
    <row r="9" spans="1:5" x14ac:dyDescent="0.35">
      <c r="A9" t="s">
        <v>62</v>
      </c>
      <c r="B9">
        <v>1</v>
      </c>
      <c r="C9">
        <v>1</v>
      </c>
      <c r="D9">
        <v>0.53986486486486485</v>
      </c>
      <c r="E9">
        <v>0.84662162162162158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042D-E2B3-4F7E-88B6-ACEF51C22AB4}">
  <dimension ref="A1:D9"/>
  <sheetViews>
    <sheetView workbookViewId="0">
      <selection activeCell="B6" sqref="B6:C6"/>
    </sheetView>
  </sheetViews>
  <sheetFormatPr defaultRowHeight="14.5" x14ac:dyDescent="0.35"/>
  <cols>
    <col min="1" max="1" width="15.1796875" customWidth="1"/>
    <col min="2" max="2" width="22.08984375" customWidth="1"/>
    <col min="3" max="3" width="22" customWidth="1"/>
    <col min="4" max="4" width="19" customWidth="1"/>
  </cols>
  <sheetData>
    <row r="1" spans="1:4" x14ac:dyDescent="0.35">
      <c r="A1" t="s">
        <v>2</v>
      </c>
      <c r="B1" t="s">
        <v>111</v>
      </c>
      <c r="C1" t="s">
        <v>112</v>
      </c>
      <c r="D1" t="s">
        <v>113</v>
      </c>
    </row>
    <row r="2" spans="1:4" x14ac:dyDescent="0.35">
      <c r="A2" t="s">
        <v>62</v>
      </c>
      <c r="B2">
        <v>0.84662162162162158</v>
      </c>
      <c r="C2">
        <v>1</v>
      </c>
      <c r="D2" t="s">
        <v>117</v>
      </c>
    </row>
    <row r="3" spans="1:4" x14ac:dyDescent="0.35">
      <c r="A3" t="s">
        <v>25</v>
      </c>
      <c r="B3">
        <v>0.46407809255910526</v>
      </c>
      <c r="C3">
        <v>2</v>
      </c>
      <c r="D3" t="s">
        <v>116</v>
      </c>
    </row>
    <row r="4" spans="1:4" x14ac:dyDescent="0.35">
      <c r="A4" t="s">
        <v>35</v>
      </c>
      <c r="B4">
        <v>0.26092828814347802</v>
      </c>
      <c r="C4">
        <v>3</v>
      </c>
      <c r="D4" t="s">
        <v>115</v>
      </c>
    </row>
    <row r="5" spans="1:4" x14ac:dyDescent="0.35">
      <c r="A5" t="s">
        <v>46</v>
      </c>
      <c r="B5">
        <v>0.24576547614522296</v>
      </c>
      <c r="C5">
        <v>4</v>
      </c>
      <c r="D5" t="s">
        <v>115</v>
      </c>
    </row>
    <row r="6" spans="1:4" x14ac:dyDescent="0.35">
      <c r="A6" t="s">
        <v>53</v>
      </c>
      <c r="B6">
        <v>0.19525470316609558</v>
      </c>
      <c r="C6">
        <v>5</v>
      </c>
      <c r="D6" t="s">
        <v>114</v>
      </c>
    </row>
    <row r="7" spans="1:4" x14ac:dyDescent="0.35">
      <c r="A7" t="s">
        <v>41</v>
      </c>
      <c r="B7">
        <v>0.18769854845804212</v>
      </c>
      <c r="C7">
        <v>6</v>
      </c>
      <c r="D7" t="s">
        <v>114</v>
      </c>
    </row>
    <row r="8" spans="1:4" x14ac:dyDescent="0.35">
      <c r="A8" t="s">
        <v>7</v>
      </c>
      <c r="B8">
        <v>0.1516691193906384</v>
      </c>
      <c r="C8">
        <v>7</v>
      </c>
      <c r="D8" t="s">
        <v>114</v>
      </c>
    </row>
    <row r="9" spans="1:4" x14ac:dyDescent="0.35">
      <c r="A9" t="s">
        <v>18</v>
      </c>
      <c r="B9">
        <v>1.8518518518518517E-2</v>
      </c>
      <c r="C9">
        <v>8</v>
      </c>
      <c r="D9" t="s">
        <v>114</v>
      </c>
    </row>
  </sheetData>
  <sortState xmlns:xlrd2="http://schemas.microsoft.com/office/spreadsheetml/2017/richdata2" ref="A2:D9">
    <sortCondition ref="C2:C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AFA0-34D2-42FF-9422-02A98E6171C7}">
  <dimension ref="A1:F9"/>
  <sheetViews>
    <sheetView tabSelected="1" topLeftCell="A16" zoomScale="115" zoomScaleNormal="115" workbookViewId="0">
      <selection activeCell="F11" sqref="F11"/>
    </sheetView>
  </sheetViews>
  <sheetFormatPr defaultRowHeight="14.5" x14ac:dyDescent="0.35"/>
  <cols>
    <col min="1" max="1" width="17.36328125" customWidth="1"/>
    <col min="2" max="2" width="17.26953125" customWidth="1"/>
    <col min="3" max="3" width="17.90625" customWidth="1"/>
    <col min="4" max="4" width="17" customWidth="1"/>
    <col min="5" max="5" width="17.6328125" customWidth="1"/>
    <col min="6" max="6" width="17" customWidth="1"/>
  </cols>
  <sheetData>
    <row r="1" spans="1:6" x14ac:dyDescent="0.35">
      <c r="A1" t="s">
        <v>2</v>
      </c>
      <c r="B1" t="s">
        <v>118</v>
      </c>
      <c r="C1" t="s">
        <v>137</v>
      </c>
      <c r="D1" t="s">
        <v>119</v>
      </c>
      <c r="E1" t="s">
        <v>138</v>
      </c>
      <c r="F1" t="s">
        <v>121</v>
      </c>
    </row>
    <row r="2" spans="1:6" x14ac:dyDescent="0.35">
      <c r="A2" t="s">
        <v>53</v>
      </c>
      <c r="B2">
        <v>4</v>
      </c>
      <c r="C2">
        <v>5</v>
      </c>
      <c r="D2">
        <v>1</v>
      </c>
      <c r="E2">
        <v>1</v>
      </c>
      <c r="F2">
        <v>0.35093120317179821</v>
      </c>
    </row>
    <row r="3" spans="1:6" x14ac:dyDescent="0.35">
      <c r="A3" t="s">
        <v>18</v>
      </c>
      <c r="B3">
        <v>5</v>
      </c>
      <c r="C3">
        <v>8</v>
      </c>
      <c r="D3">
        <v>3</v>
      </c>
      <c r="E3">
        <v>3</v>
      </c>
    </row>
    <row r="4" spans="1:6" x14ac:dyDescent="0.35">
      <c r="A4" t="s">
        <v>7</v>
      </c>
      <c r="B4">
        <v>2</v>
      </c>
      <c r="C4">
        <v>7</v>
      </c>
      <c r="D4">
        <v>5</v>
      </c>
      <c r="E4">
        <v>5</v>
      </c>
    </row>
    <row r="5" spans="1:6" x14ac:dyDescent="0.35">
      <c r="A5" t="s">
        <v>35</v>
      </c>
      <c r="B5">
        <v>7</v>
      </c>
      <c r="C5">
        <v>3</v>
      </c>
      <c r="D5">
        <v>-4</v>
      </c>
      <c r="E5">
        <v>4</v>
      </c>
    </row>
    <row r="6" spans="1:6" x14ac:dyDescent="0.35">
      <c r="A6" t="s">
        <v>25</v>
      </c>
      <c r="B6">
        <v>2</v>
      </c>
      <c r="C6">
        <v>2</v>
      </c>
      <c r="D6">
        <v>0</v>
      </c>
      <c r="E6">
        <v>0</v>
      </c>
    </row>
    <row r="7" spans="1:6" x14ac:dyDescent="0.35">
      <c r="A7" t="s">
        <v>41</v>
      </c>
      <c r="B7">
        <v>8</v>
      </c>
      <c r="C7">
        <v>6</v>
      </c>
      <c r="D7">
        <v>-2</v>
      </c>
      <c r="E7">
        <v>2</v>
      </c>
    </row>
    <row r="8" spans="1:6" x14ac:dyDescent="0.35">
      <c r="A8" t="s">
        <v>46</v>
      </c>
      <c r="B8">
        <v>5</v>
      </c>
      <c r="C8">
        <v>4</v>
      </c>
      <c r="D8">
        <v>-1</v>
      </c>
      <c r="E8">
        <v>1</v>
      </c>
    </row>
    <row r="9" spans="1:6" x14ac:dyDescent="0.35">
      <c r="A9" t="s">
        <v>62</v>
      </c>
      <c r="B9">
        <v>1</v>
      </c>
      <c r="C9">
        <v>1</v>
      </c>
      <c r="D9">
        <v>0</v>
      </c>
      <c r="E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FF97-92CA-43AB-9608-F0CC856B7287}">
  <dimension ref="A1:J9"/>
  <sheetViews>
    <sheetView zoomScale="81" workbookViewId="0">
      <selection activeCell="H15" sqref="H15"/>
    </sheetView>
  </sheetViews>
  <sheetFormatPr defaultRowHeight="14.5" x14ac:dyDescent="0.35"/>
  <cols>
    <col min="1" max="1" width="17.81640625" customWidth="1"/>
    <col min="2" max="4" width="17.26953125" customWidth="1"/>
    <col min="5" max="7" width="17.7265625" customWidth="1"/>
    <col min="8" max="9" width="17.54296875" customWidth="1"/>
    <col min="10" max="10" width="17.90625" customWidth="1"/>
  </cols>
  <sheetData>
    <row r="1" spans="1:10" ht="27.5" customHeight="1" x14ac:dyDescent="0.35">
      <c r="A1" s="4" t="s">
        <v>2</v>
      </c>
      <c r="B1" s="3" t="s">
        <v>139</v>
      </c>
      <c r="C1" s="3" t="s">
        <v>130</v>
      </c>
      <c r="D1" s="3" t="s">
        <v>119</v>
      </c>
      <c r="E1" s="3" t="s">
        <v>140</v>
      </c>
      <c r="F1" s="3" t="s">
        <v>130</v>
      </c>
      <c r="G1" s="3" t="s">
        <v>119</v>
      </c>
      <c r="H1" s="3" t="s">
        <v>141</v>
      </c>
      <c r="I1" s="3" t="s">
        <v>130</v>
      </c>
      <c r="J1" s="3" t="s">
        <v>119</v>
      </c>
    </row>
    <row r="2" spans="1:10" x14ac:dyDescent="0.35">
      <c r="A2" t="s">
        <v>53</v>
      </c>
      <c r="B2">
        <v>0.17421880515234944</v>
      </c>
      <c r="C2">
        <v>5</v>
      </c>
      <c r="D2">
        <v>0</v>
      </c>
      <c r="E2">
        <v>0.18486779048487911</v>
      </c>
      <c r="F2">
        <v>5</v>
      </c>
      <c r="G2">
        <v>0</v>
      </c>
      <c r="H2">
        <v>0.22667751386105817</v>
      </c>
      <c r="I2">
        <v>6</v>
      </c>
      <c r="J2">
        <v>1</v>
      </c>
    </row>
    <row r="3" spans="1:10" x14ac:dyDescent="0.35">
      <c r="A3" t="s">
        <v>18</v>
      </c>
      <c r="B3">
        <v>2.7777777777777776E-2</v>
      </c>
      <c r="C3">
        <v>8</v>
      </c>
      <c r="D3">
        <v>0</v>
      </c>
      <c r="E3">
        <v>1.3888888888888888E-2</v>
      </c>
      <c r="F3">
        <v>8</v>
      </c>
      <c r="G3">
        <v>0</v>
      </c>
      <c r="H3">
        <v>1.3888888888888888E-2</v>
      </c>
      <c r="I3">
        <v>7</v>
      </c>
      <c r="J3">
        <v>-1</v>
      </c>
    </row>
    <row r="4" spans="1:10" x14ac:dyDescent="0.35">
      <c r="A4" t="s">
        <v>7</v>
      </c>
      <c r="B4">
        <v>0.148474061765201</v>
      </c>
      <c r="C4">
        <v>6</v>
      </c>
      <c r="D4">
        <v>-1</v>
      </c>
      <c r="E4">
        <v>0.13197064605292452</v>
      </c>
      <c r="F4">
        <v>7</v>
      </c>
      <c r="G4">
        <v>0</v>
      </c>
      <c r="H4">
        <v>0.17456265035378959</v>
      </c>
      <c r="I4">
        <v>6</v>
      </c>
      <c r="J4">
        <v>-1</v>
      </c>
    </row>
    <row r="5" spans="1:10" x14ac:dyDescent="0.35">
      <c r="A5" t="s">
        <v>35</v>
      </c>
      <c r="B5">
        <v>0.20264066055205296</v>
      </c>
      <c r="C5">
        <v>3</v>
      </c>
      <c r="D5">
        <v>0</v>
      </c>
      <c r="E5">
        <v>0.19931285263563744</v>
      </c>
      <c r="F5">
        <v>3</v>
      </c>
      <c r="G5">
        <v>0</v>
      </c>
      <c r="H5">
        <v>0.38083135124274364</v>
      </c>
      <c r="I5">
        <v>3</v>
      </c>
      <c r="J5">
        <v>0</v>
      </c>
    </row>
    <row r="6" spans="1:10" x14ac:dyDescent="0.35">
      <c r="A6" t="s">
        <v>25</v>
      </c>
      <c r="B6">
        <v>0.38278079164155115</v>
      </c>
      <c r="C6">
        <v>2</v>
      </c>
      <c r="D6">
        <v>0</v>
      </c>
      <c r="E6">
        <v>0.41139491661643562</v>
      </c>
      <c r="F6">
        <v>2</v>
      </c>
      <c r="G6">
        <v>0</v>
      </c>
      <c r="H6">
        <v>0.59805856941932889</v>
      </c>
      <c r="I6">
        <v>2</v>
      </c>
      <c r="J6">
        <v>0</v>
      </c>
    </row>
    <row r="7" spans="1:10" x14ac:dyDescent="0.35">
      <c r="A7" t="s">
        <v>41</v>
      </c>
      <c r="B7">
        <v>0.14077391134353159</v>
      </c>
      <c r="C7">
        <v>7</v>
      </c>
      <c r="D7">
        <v>1</v>
      </c>
      <c r="E7">
        <v>0.14303430917354967</v>
      </c>
      <c r="F7">
        <v>6</v>
      </c>
      <c r="G7">
        <v>0</v>
      </c>
      <c r="H7">
        <v>0.27928742485704511</v>
      </c>
      <c r="I7">
        <v>3</v>
      </c>
      <c r="J7">
        <v>-3</v>
      </c>
    </row>
    <row r="8" spans="1:10" x14ac:dyDescent="0.35">
      <c r="A8" t="s">
        <v>46</v>
      </c>
      <c r="B8">
        <v>0.19821299599780612</v>
      </c>
      <c r="C8">
        <v>4</v>
      </c>
      <c r="D8">
        <v>0</v>
      </c>
      <c r="E8">
        <v>0.19259716316678341</v>
      </c>
      <c r="F8">
        <v>4</v>
      </c>
      <c r="G8">
        <v>0</v>
      </c>
      <c r="H8">
        <v>0.34648626927107934</v>
      </c>
      <c r="I8">
        <v>2</v>
      </c>
      <c r="J8">
        <v>-2</v>
      </c>
    </row>
    <row r="9" spans="1:10" x14ac:dyDescent="0.35">
      <c r="A9" t="s">
        <v>62</v>
      </c>
      <c r="B9">
        <v>0.88496621621621618</v>
      </c>
      <c r="C9">
        <v>1</v>
      </c>
      <c r="D9">
        <v>0</v>
      </c>
      <c r="E9">
        <v>0.88496621621621618</v>
      </c>
      <c r="F9">
        <v>1</v>
      </c>
      <c r="G9">
        <v>0</v>
      </c>
      <c r="H9">
        <v>0.76993243243243237</v>
      </c>
      <c r="I9">
        <v>1</v>
      </c>
      <c r="J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0977-418E-4B4E-AD8F-81CC2FB61320}">
  <dimension ref="A1:L9"/>
  <sheetViews>
    <sheetView zoomScale="81" workbookViewId="0">
      <selection activeCell="B2" sqref="B2:C2"/>
    </sheetView>
  </sheetViews>
  <sheetFormatPr defaultRowHeight="14.5" x14ac:dyDescent="0.35"/>
  <cols>
    <col min="1" max="3" width="17.81640625" customWidth="1"/>
    <col min="4" max="4" width="18.26953125" customWidth="1"/>
    <col min="5" max="9" width="17.81640625" customWidth="1"/>
    <col min="10" max="10" width="17.08984375" customWidth="1"/>
    <col min="11" max="11" width="17.7265625" customWidth="1"/>
    <col min="12" max="12" width="17.81640625" customWidth="1"/>
  </cols>
  <sheetData>
    <row r="1" spans="1:12" ht="27" customHeight="1" x14ac:dyDescent="0.35">
      <c r="A1" s="4" t="s">
        <v>2</v>
      </c>
      <c r="B1" s="4" t="s">
        <v>146</v>
      </c>
      <c r="C1" s="4" t="s">
        <v>147</v>
      </c>
      <c r="D1" t="s">
        <v>142</v>
      </c>
      <c r="E1" t="s">
        <v>143</v>
      </c>
      <c r="F1" t="s">
        <v>131</v>
      </c>
      <c r="G1" t="s">
        <v>144</v>
      </c>
      <c r="H1" t="s">
        <v>143</v>
      </c>
      <c r="I1" t="s">
        <v>131</v>
      </c>
      <c r="J1" t="s">
        <v>145</v>
      </c>
      <c r="K1" t="s">
        <v>143</v>
      </c>
      <c r="L1" t="s">
        <v>131</v>
      </c>
    </row>
    <row r="2" spans="1:12" x14ac:dyDescent="0.35">
      <c r="A2" t="s">
        <v>53</v>
      </c>
      <c r="B2">
        <v>0.19525470316609558</v>
      </c>
      <c r="C2">
        <v>5</v>
      </c>
      <c r="D2">
        <v>0.23732649919358781</v>
      </c>
      <c r="E2">
        <v>6</v>
      </c>
      <c r="F2">
        <v>1</v>
      </c>
      <c r="G2">
        <v>0.21602852852852852</v>
      </c>
      <c r="H2">
        <v>6</v>
      </c>
      <c r="I2">
        <v>1</v>
      </c>
      <c r="J2">
        <v>0.13240908177617039</v>
      </c>
      <c r="K2">
        <v>3</v>
      </c>
      <c r="L2">
        <v>-2</v>
      </c>
    </row>
    <row r="3" spans="1:12" x14ac:dyDescent="0.35">
      <c r="A3" t="s">
        <v>18</v>
      </c>
      <c r="B3">
        <v>1.8518518518518517E-2</v>
      </c>
      <c r="C3">
        <v>8</v>
      </c>
      <c r="D3">
        <v>0</v>
      </c>
      <c r="E3">
        <v>8</v>
      </c>
      <c r="F3">
        <v>0</v>
      </c>
      <c r="G3">
        <v>2.7777777777777776E-2</v>
      </c>
      <c r="H3">
        <v>8</v>
      </c>
      <c r="I3">
        <v>0</v>
      </c>
      <c r="J3">
        <v>2.7777777777777776E-2</v>
      </c>
      <c r="K3">
        <v>6</v>
      </c>
      <c r="L3">
        <v>-2</v>
      </c>
    </row>
    <row r="4" spans="1:12" x14ac:dyDescent="0.35">
      <c r="A4" t="s">
        <v>7</v>
      </c>
      <c r="B4">
        <v>0.1516691193906384</v>
      </c>
      <c r="C4">
        <v>7</v>
      </c>
      <c r="D4">
        <v>0.15805923464151311</v>
      </c>
      <c r="E4">
        <v>7</v>
      </c>
      <c r="F4">
        <v>0</v>
      </c>
      <c r="G4">
        <v>0.19106606606606608</v>
      </c>
      <c r="H4">
        <v>7</v>
      </c>
      <c r="I4">
        <v>0</v>
      </c>
      <c r="J4">
        <v>0.10588205746433593</v>
      </c>
      <c r="K4">
        <v>4</v>
      </c>
      <c r="L4">
        <v>-3</v>
      </c>
    </row>
    <row r="5" spans="1:12" x14ac:dyDescent="0.35">
      <c r="A5" t="s">
        <v>35</v>
      </c>
      <c r="B5">
        <v>0.26092828814347802</v>
      </c>
      <c r="C5">
        <v>3</v>
      </c>
      <c r="D5">
        <v>0.37750354332632813</v>
      </c>
      <c r="E5">
        <v>3</v>
      </c>
      <c r="F5">
        <v>0</v>
      </c>
      <c r="G5">
        <v>0.38415915915915916</v>
      </c>
      <c r="H5">
        <v>3</v>
      </c>
      <c r="I5">
        <v>0</v>
      </c>
      <c r="J5">
        <v>2.1122161944946746E-2</v>
      </c>
      <c r="K5">
        <v>7</v>
      </c>
      <c r="L5">
        <v>4</v>
      </c>
    </row>
    <row r="6" spans="1:12" x14ac:dyDescent="0.35">
      <c r="A6" t="s">
        <v>25</v>
      </c>
      <c r="B6">
        <v>0.46407809255910526</v>
      </c>
      <c r="C6">
        <v>2</v>
      </c>
      <c r="D6">
        <v>0.62667269439421336</v>
      </c>
      <c r="E6">
        <v>2</v>
      </c>
      <c r="F6">
        <v>0</v>
      </c>
      <c r="G6">
        <v>0.56944444444444442</v>
      </c>
      <c r="H6">
        <v>2</v>
      </c>
      <c r="I6">
        <v>0</v>
      </c>
      <c r="J6">
        <v>0.19611713883865786</v>
      </c>
      <c r="K6">
        <v>2</v>
      </c>
      <c r="L6">
        <v>0</v>
      </c>
    </row>
    <row r="7" spans="1:12" x14ac:dyDescent="0.35">
      <c r="A7" t="s">
        <v>41</v>
      </c>
      <c r="B7">
        <v>0.18769854845804212</v>
      </c>
      <c r="C7">
        <v>6</v>
      </c>
      <c r="D7">
        <v>0.28154782268706319</v>
      </c>
      <c r="E7">
        <v>5</v>
      </c>
      <c r="F7">
        <v>-1</v>
      </c>
      <c r="G7">
        <v>0.27702702702702703</v>
      </c>
      <c r="H7">
        <v>5</v>
      </c>
      <c r="I7">
        <v>-1</v>
      </c>
      <c r="J7">
        <v>4.5207956600361587E-3</v>
      </c>
      <c r="K7">
        <v>8</v>
      </c>
      <c r="L7">
        <v>2</v>
      </c>
    </row>
    <row r="8" spans="1:12" x14ac:dyDescent="0.35">
      <c r="A8" t="s">
        <v>46</v>
      </c>
      <c r="B8">
        <v>0.24576547614522296</v>
      </c>
      <c r="C8">
        <v>4</v>
      </c>
      <c r="D8">
        <v>0.34087043644005666</v>
      </c>
      <c r="E8">
        <v>4</v>
      </c>
      <c r="F8">
        <v>0</v>
      </c>
      <c r="G8">
        <v>0.35210210210210208</v>
      </c>
      <c r="H8">
        <v>4</v>
      </c>
      <c r="I8">
        <v>0</v>
      </c>
      <c r="J8">
        <v>4.4323889893510146E-2</v>
      </c>
      <c r="K8">
        <v>5</v>
      </c>
      <c r="L8">
        <v>1</v>
      </c>
    </row>
    <row r="9" spans="1:12" x14ac:dyDescent="0.35">
      <c r="A9" t="s">
        <v>62</v>
      </c>
      <c r="B9">
        <v>0.84662162162162158</v>
      </c>
      <c r="C9">
        <v>1</v>
      </c>
      <c r="D9">
        <v>0.76993243243243237</v>
      </c>
      <c r="E9">
        <v>1</v>
      </c>
      <c r="F9">
        <v>0</v>
      </c>
      <c r="G9">
        <v>0.76993243243243237</v>
      </c>
      <c r="H9">
        <v>1</v>
      </c>
      <c r="I9">
        <v>0</v>
      </c>
      <c r="J9">
        <v>1</v>
      </c>
      <c r="K9">
        <v>1</v>
      </c>
      <c r="L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9914-289A-47F6-A4C3-2986529C4A09}">
  <dimension ref="A1:G9"/>
  <sheetViews>
    <sheetView workbookViewId="0">
      <selection activeCell="E5" sqref="E5"/>
    </sheetView>
  </sheetViews>
  <sheetFormatPr defaultRowHeight="14.5" x14ac:dyDescent="0.35"/>
  <cols>
    <col min="1" max="1" width="20.54296875" customWidth="1"/>
    <col min="2" max="2" width="17.1796875" customWidth="1"/>
    <col min="3" max="3" width="17.7265625" customWidth="1"/>
    <col min="4" max="4" width="17.453125" customWidth="1"/>
    <col min="5" max="5" width="17.6328125" customWidth="1"/>
    <col min="6" max="6" width="17.1796875" customWidth="1"/>
    <col min="7" max="7" width="25.08984375" customWidth="1"/>
  </cols>
  <sheetData>
    <row r="1" spans="1:7" ht="32.5" customHeight="1" x14ac:dyDescent="0.35">
      <c r="A1" t="s">
        <v>2</v>
      </c>
      <c r="B1" t="s">
        <v>146</v>
      </c>
      <c r="C1" t="s">
        <v>147</v>
      </c>
      <c r="D1" t="s">
        <v>135</v>
      </c>
      <c r="E1" t="s">
        <v>148</v>
      </c>
      <c r="F1" t="s">
        <v>119</v>
      </c>
      <c r="G1" t="s">
        <v>149</v>
      </c>
    </row>
    <row r="2" spans="1:7" x14ac:dyDescent="0.35">
      <c r="A2" t="s">
        <v>53</v>
      </c>
      <c r="B2">
        <v>0.19525470316609558</v>
      </c>
      <c r="C2">
        <v>5</v>
      </c>
      <c r="D2">
        <v>0.28821019739577769</v>
      </c>
      <c r="E2">
        <v>3</v>
      </c>
      <c r="F2">
        <v>-2</v>
      </c>
      <c r="G2">
        <v>2</v>
      </c>
    </row>
    <row r="3" spans="1:7" x14ac:dyDescent="0.35">
      <c r="A3" t="s">
        <v>18</v>
      </c>
      <c r="B3">
        <v>1.8518518518518517E-2</v>
      </c>
      <c r="C3">
        <v>8</v>
      </c>
      <c r="D3">
        <v>4.103504330068164E-2</v>
      </c>
      <c r="E3">
        <v>8</v>
      </c>
      <c r="F3">
        <v>0</v>
      </c>
      <c r="G3">
        <v>0</v>
      </c>
    </row>
    <row r="4" spans="1:7" x14ac:dyDescent="0.35">
      <c r="A4" t="s">
        <v>7</v>
      </c>
      <c r="B4">
        <v>0.1516691193906384</v>
      </c>
      <c r="C4">
        <v>7</v>
      </c>
      <c r="D4">
        <v>0.18047255557250688</v>
      </c>
      <c r="E4">
        <v>7</v>
      </c>
      <c r="F4">
        <v>0</v>
      </c>
      <c r="G4">
        <v>0</v>
      </c>
    </row>
    <row r="5" spans="1:7" x14ac:dyDescent="0.35">
      <c r="A5" t="s">
        <v>35</v>
      </c>
      <c r="B5">
        <v>0.26092828814347802</v>
      </c>
      <c r="C5">
        <v>3</v>
      </c>
      <c r="D5">
        <v>0.28372290150337914</v>
      </c>
      <c r="E5">
        <v>4</v>
      </c>
      <c r="F5">
        <v>1</v>
      </c>
      <c r="G5">
        <v>1</v>
      </c>
    </row>
    <row r="6" spans="1:7" x14ac:dyDescent="0.35">
      <c r="A6" t="s">
        <v>25</v>
      </c>
      <c r="B6">
        <v>0.46407809255910526</v>
      </c>
      <c r="C6">
        <v>2</v>
      </c>
      <c r="D6">
        <v>0.5013090717606602</v>
      </c>
      <c r="E6">
        <v>2</v>
      </c>
      <c r="F6">
        <v>0</v>
      </c>
      <c r="G6">
        <v>0</v>
      </c>
    </row>
    <row r="7" spans="1:7" x14ac:dyDescent="0.35">
      <c r="A7" t="s">
        <v>41</v>
      </c>
      <c r="B7">
        <v>0.18769854845804212</v>
      </c>
      <c r="C7">
        <v>6</v>
      </c>
      <c r="D7">
        <v>0.18468468468468469</v>
      </c>
      <c r="E7">
        <v>6</v>
      </c>
      <c r="F7">
        <v>0</v>
      </c>
      <c r="G7">
        <v>0</v>
      </c>
    </row>
    <row r="8" spans="1:7" x14ac:dyDescent="0.35">
      <c r="A8" t="s">
        <v>46</v>
      </c>
      <c r="B8">
        <v>0.24576547614522296</v>
      </c>
      <c r="C8">
        <v>4</v>
      </c>
      <c r="D8">
        <v>0.27165202451378861</v>
      </c>
      <c r="E8">
        <v>5</v>
      </c>
      <c r="F8">
        <v>1</v>
      </c>
      <c r="G8">
        <v>1</v>
      </c>
    </row>
    <row r="9" spans="1:7" x14ac:dyDescent="0.35">
      <c r="A9" t="s">
        <v>62</v>
      </c>
      <c r="B9">
        <v>0.84662162162162158</v>
      </c>
      <c r="C9">
        <v>1</v>
      </c>
      <c r="D9">
        <v>0.84662162162162158</v>
      </c>
      <c r="E9">
        <v>1</v>
      </c>
      <c r="F9">
        <v>0</v>
      </c>
      <c r="G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D133-B731-4E34-976B-AA7169EBCB67}">
  <dimension ref="A1:W19"/>
  <sheetViews>
    <sheetView workbookViewId="0">
      <selection activeCell="D19" sqref="D19"/>
    </sheetView>
  </sheetViews>
  <sheetFormatPr defaultRowHeight="14.5" x14ac:dyDescent="0.35"/>
  <cols>
    <col min="1" max="1" width="19.08984375" customWidth="1"/>
    <col min="2" max="2" width="18" customWidth="1"/>
    <col min="3" max="3" width="17.6328125" customWidth="1"/>
    <col min="4" max="4" width="14.36328125" customWidth="1"/>
    <col min="5" max="5" width="17.6328125" customWidth="1"/>
    <col min="6" max="6" width="16.6328125" customWidth="1"/>
    <col min="7" max="7" width="9.453125" customWidth="1"/>
    <col min="8" max="8" width="11.36328125" customWidth="1"/>
    <col min="9" max="9" width="17.7265625" customWidth="1"/>
    <col min="10" max="10" width="9.1796875" customWidth="1"/>
    <col min="11" max="11" width="11.36328125" customWidth="1"/>
    <col min="12" max="12" width="18" customWidth="1"/>
    <col min="13" max="13" width="8.08984375" customWidth="1"/>
    <col min="14" max="14" width="12.453125" customWidth="1"/>
    <col min="15" max="15" width="19.81640625" customWidth="1"/>
    <col min="16" max="16" width="8.54296875" customWidth="1"/>
    <col min="17" max="17" width="12.90625" customWidth="1"/>
    <col min="18" max="18" width="17.26953125" customWidth="1"/>
    <col min="19" max="19" width="8.453125" customWidth="1"/>
    <col min="20" max="20" width="12.54296875" customWidth="1"/>
    <col min="21" max="21" width="19.7265625" customWidth="1"/>
    <col min="22" max="22" width="9.54296875" customWidth="1"/>
    <col min="23" max="23" width="11.36328125" customWidth="1"/>
  </cols>
  <sheetData>
    <row r="1" spans="1:23" ht="33" customHeight="1" x14ac:dyDescent="0.35">
      <c r="A1" t="s">
        <v>2</v>
      </c>
      <c r="B1" t="s">
        <v>137</v>
      </c>
      <c r="C1" s="3" t="s">
        <v>151</v>
      </c>
      <c r="D1" s="3" t="s">
        <v>119</v>
      </c>
      <c r="E1" s="3" t="s">
        <v>120</v>
      </c>
      <c r="F1" s="3" t="s">
        <v>152</v>
      </c>
      <c r="G1" s="3" t="s">
        <v>119</v>
      </c>
      <c r="H1" s="3" t="s">
        <v>120</v>
      </c>
      <c r="I1" s="3" t="s">
        <v>153</v>
      </c>
      <c r="J1" s="3" t="s">
        <v>119</v>
      </c>
      <c r="K1" s="3" t="s">
        <v>120</v>
      </c>
      <c r="L1" s="3" t="s">
        <v>154</v>
      </c>
      <c r="M1" s="3" t="s">
        <v>119</v>
      </c>
      <c r="N1" s="3" t="s">
        <v>120</v>
      </c>
      <c r="O1" s="3" t="s">
        <v>155</v>
      </c>
      <c r="P1" s="3" t="s">
        <v>119</v>
      </c>
      <c r="Q1" s="3" t="s">
        <v>120</v>
      </c>
      <c r="R1" s="3" t="s">
        <v>156</v>
      </c>
      <c r="S1" s="3" t="s">
        <v>119</v>
      </c>
      <c r="T1" s="3" t="s">
        <v>120</v>
      </c>
      <c r="U1" s="3" t="s">
        <v>157</v>
      </c>
      <c r="V1" s="3" t="s">
        <v>119</v>
      </c>
      <c r="W1" s="3" t="s">
        <v>120</v>
      </c>
    </row>
    <row r="2" spans="1:23" x14ac:dyDescent="0.35">
      <c r="A2" t="s">
        <v>53</v>
      </c>
      <c r="B2">
        <v>5</v>
      </c>
      <c r="C2">
        <v>5</v>
      </c>
      <c r="D2">
        <v>0</v>
      </c>
      <c r="E2">
        <f>ABS(D2)</f>
        <v>0</v>
      </c>
      <c r="F2">
        <v>5</v>
      </c>
      <c r="G2">
        <v>0</v>
      </c>
      <c r="H2">
        <f>ABS(G2)</f>
        <v>0</v>
      </c>
      <c r="I2">
        <v>6</v>
      </c>
      <c r="J2">
        <v>1</v>
      </c>
      <c r="K2">
        <f>ABS(J2)</f>
        <v>1</v>
      </c>
      <c r="L2">
        <v>6</v>
      </c>
      <c r="M2">
        <v>1</v>
      </c>
      <c r="N2">
        <f>ABS(M2)</f>
        <v>1</v>
      </c>
      <c r="O2">
        <v>6</v>
      </c>
      <c r="P2">
        <v>1</v>
      </c>
      <c r="Q2">
        <f>ABS(P2)</f>
        <v>1</v>
      </c>
      <c r="R2">
        <v>3</v>
      </c>
      <c r="S2">
        <v>-2</v>
      </c>
      <c r="T2">
        <f>ABS(S2)</f>
        <v>2</v>
      </c>
      <c r="U2">
        <v>4</v>
      </c>
      <c r="V2">
        <v>-1</v>
      </c>
      <c r="W2">
        <f>ABS(V2)</f>
        <v>1</v>
      </c>
    </row>
    <row r="3" spans="1:23" x14ac:dyDescent="0.35">
      <c r="A3" t="s">
        <v>18</v>
      </c>
      <c r="B3">
        <v>8</v>
      </c>
      <c r="C3">
        <v>8</v>
      </c>
      <c r="D3">
        <v>0</v>
      </c>
      <c r="E3">
        <f t="shared" ref="E3:E9" si="0">ABS(D3)</f>
        <v>0</v>
      </c>
      <c r="F3">
        <v>8</v>
      </c>
      <c r="G3">
        <v>0</v>
      </c>
      <c r="H3">
        <f t="shared" ref="H3:H9" si="1">ABS(G3)</f>
        <v>0</v>
      </c>
      <c r="I3">
        <v>7</v>
      </c>
      <c r="J3">
        <v>-1</v>
      </c>
      <c r="K3">
        <f t="shared" ref="K3:K9" si="2">ABS(J3)</f>
        <v>1</v>
      </c>
      <c r="L3">
        <v>8</v>
      </c>
      <c r="M3">
        <v>0</v>
      </c>
      <c r="N3">
        <f t="shared" ref="N3:N9" si="3">ABS(M3)</f>
        <v>0</v>
      </c>
      <c r="O3">
        <v>8</v>
      </c>
      <c r="P3">
        <v>0</v>
      </c>
      <c r="Q3">
        <f t="shared" ref="Q3:Q9" si="4">ABS(P3)</f>
        <v>0</v>
      </c>
      <c r="R3">
        <v>6</v>
      </c>
      <c r="S3">
        <v>-2</v>
      </c>
      <c r="T3">
        <f t="shared" ref="T3:T9" si="5">ABS(S3)</f>
        <v>2</v>
      </c>
      <c r="U3">
        <v>8</v>
      </c>
      <c r="V3">
        <v>0</v>
      </c>
      <c r="W3">
        <f t="shared" ref="W3:W9" si="6">ABS(V3)</f>
        <v>0</v>
      </c>
    </row>
    <row r="4" spans="1:23" x14ac:dyDescent="0.35">
      <c r="A4" t="s">
        <v>7</v>
      </c>
      <c r="B4">
        <v>7</v>
      </c>
      <c r="C4">
        <v>6</v>
      </c>
      <c r="D4">
        <v>-1</v>
      </c>
      <c r="E4">
        <f t="shared" si="0"/>
        <v>1</v>
      </c>
      <c r="F4">
        <v>7</v>
      </c>
      <c r="G4">
        <v>0</v>
      </c>
      <c r="H4">
        <f t="shared" si="1"/>
        <v>0</v>
      </c>
      <c r="I4">
        <v>6</v>
      </c>
      <c r="J4">
        <v>-1</v>
      </c>
      <c r="K4">
        <f t="shared" si="2"/>
        <v>1</v>
      </c>
      <c r="L4">
        <v>7</v>
      </c>
      <c r="M4">
        <v>0</v>
      </c>
      <c r="N4">
        <f t="shared" si="3"/>
        <v>0</v>
      </c>
      <c r="O4">
        <v>7</v>
      </c>
      <c r="P4">
        <v>0</v>
      </c>
      <c r="Q4">
        <f t="shared" si="4"/>
        <v>0</v>
      </c>
      <c r="R4">
        <v>4</v>
      </c>
      <c r="S4">
        <v>-3</v>
      </c>
      <c r="T4">
        <f t="shared" si="5"/>
        <v>3</v>
      </c>
      <c r="U4">
        <v>7</v>
      </c>
      <c r="V4">
        <v>0</v>
      </c>
      <c r="W4">
        <f t="shared" si="6"/>
        <v>0</v>
      </c>
    </row>
    <row r="5" spans="1:23" x14ac:dyDescent="0.35">
      <c r="A5" t="s">
        <v>35</v>
      </c>
      <c r="B5">
        <v>3</v>
      </c>
      <c r="C5">
        <v>3</v>
      </c>
      <c r="D5">
        <v>0</v>
      </c>
      <c r="E5">
        <f t="shared" si="0"/>
        <v>0</v>
      </c>
      <c r="F5">
        <v>3</v>
      </c>
      <c r="G5">
        <v>0</v>
      </c>
      <c r="H5">
        <f t="shared" si="1"/>
        <v>0</v>
      </c>
      <c r="I5">
        <v>3</v>
      </c>
      <c r="J5">
        <v>0</v>
      </c>
      <c r="K5">
        <f t="shared" si="2"/>
        <v>0</v>
      </c>
      <c r="L5">
        <v>3</v>
      </c>
      <c r="M5">
        <v>0</v>
      </c>
      <c r="N5">
        <f t="shared" si="3"/>
        <v>0</v>
      </c>
      <c r="O5">
        <v>3</v>
      </c>
      <c r="P5">
        <v>0</v>
      </c>
      <c r="Q5">
        <f t="shared" si="4"/>
        <v>0</v>
      </c>
      <c r="R5">
        <v>7</v>
      </c>
      <c r="S5">
        <v>4</v>
      </c>
      <c r="T5">
        <f t="shared" si="5"/>
        <v>4</v>
      </c>
      <c r="U5">
        <v>3</v>
      </c>
      <c r="V5">
        <v>0</v>
      </c>
      <c r="W5">
        <f t="shared" si="6"/>
        <v>0</v>
      </c>
    </row>
    <row r="6" spans="1:23" x14ac:dyDescent="0.35">
      <c r="A6" t="s">
        <v>25</v>
      </c>
      <c r="B6">
        <v>2</v>
      </c>
      <c r="C6">
        <v>2</v>
      </c>
      <c r="D6">
        <v>0</v>
      </c>
      <c r="E6">
        <f t="shared" si="0"/>
        <v>0</v>
      </c>
      <c r="F6">
        <v>2</v>
      </c>
      <c r="G6">
        <v>0</v>
      </c>
      <c r="H6">
        <f t="shared" si="1"/>
        <v>0</v>
      </c>
      <c r="I6">
        <v>2</v>
      </c>
      <c r="J6">
        <v>0</v>
      </c>
      <c r="K6">
        <f t="shared" si="2"/>
        <v>0</v>
      </c>
      <c r="L6">
        <v>2</v>
      </c>
      <c r="M6">
        <v>0</v>
      </c>
      <c r="N6">
        <f t="shared" si="3"/>
        <v>0</v>
      </c>
      <c r="O6">
        <v>2</v>
      </c>
      <c r="P6">
        <v>0</v>
      </c>
      <c r="Q6">
        <f t="shared" si="4"/>
        <v>0</v>
      </c>
      <c r="R6">
        <v>2</v>
      </c>
      <c r="S6">
        <v>0</v>
      </c>
      <c r="T6">
        <f t="shared" si="5"/>
        <v>0</v>
      </c>
      <c r="U6">
        <v>2</v>
      </c>
      <c r="V6">
        <v>0</v>
      </c>
      <c r="W6">
        <f t="shared" si="6"/>
        <v>0</v>
      </c>
    </row>
    <row r="7" spans="1:23" x14ac:dyDescent="0.35">
      <c r="A7" t="s">
        <v>41</v>
      </c>
      <c r="B7">
        <v>6</v>
      </c>
      <c r="C7">
        <v>7</v>
      </c>
      <c r="D7">
        <v>1</v>
      </c>
      <c r="E7">
        <f t="shared" si="0"/>
        <v>1</v>
      </c>
      <c r="F7">
        <v>6</v>
      </c>
      <c r="G7">
        <v>0</v>
      </c>
      <c r="H7">
        <f t="shared" si="1"/>
        <v>0</v>
      </c>
      <c r="I7">
        <v>3</v>
      </c>
      <c r="J7">
        <v>-3</v>
      </c>
      <c r="K7">
        <f t="shared" si="2"/>
        <v>3</v>
      </c>
      <c r="L7">
        <v>5</v>
      </c>
      <c r="M7">
        <v>-1</v>
      </c>
      <c r="N7">
        <f t="shared" si="3"/>
        <v>1</v>
      </c>
      <c r="O7">
        <v>5</v>
      </c>
      <c r="P7">
        <v>-1</v>
      </c>
      <c r="Q7">
        <f t="shared" si="4"/>
        <v>1</v>
      </c>
      <c r="R7">
        <v>8</v>
      </c>
      <c r="S7">
        <v>2</v>
      </c>
      <c r="T7">
        <f t="shared" si="5"/>
        <v>2</v>
      </c>
      <c r="U7">
        <v>6</v>
      </c>
      <c r="V7">
        <v>0</v>
      </c>
      <c r="W7">
        <f t="shared" si="6"/>
        <v>0</v>
      </c>
    </row>
    <row r="8" spans="1:23" x14ac:dyDescent="0.35">
      <c r="A8" t="s">
        <v>46</v>
      </c>
      <c r="B8">
        <v>4</v>
      </c>
      <c r="C8">
        <v>4</v>
      </c>
      <c r="D8">
        <v>0</v>
      </c>
      <c r="E8">
        <f t="shared" si="0"/>
        <v>0</v>
      </c>
      <c r="F8">
        <v>4</v>
      </c>
      <c r="G8">
        <v>0</v>
      </c>
      <c r="H8">
        <f t="shared" si="1"/>
        <v>0</v>
      </c>
      <c r="I8">
        <v>2</v>
      </c>
      <c r="J8">
        <v>-2</v>
      </c>
      <c r="K8">
        <f t="shared" si="2"/>
        <v>2</v>
      </c>
      <c r="L8">
        <v>4</v>
      </c>
      <c r="M8">
        <v>0</v>
      </c>
      <c r="N8">
        <f t="shared" si="3"/>
        <v>0</v>
      </c>
      <c r="O8">
        <v>4</v>
      </c>
      <c r="P8">
        <v>0</v>
      </c>
      <c r="Q8">
        <f t="shared" si="4"/>
        <v>0</v>
      </c>
      <c r="R8">
        <v>5</v>
      </c>
      <c r="S8">
        <v>1</v>
      </c>
      <c r="T8">
        <f t="shared" si="5"/>
        <v>1</v>
      </c>
      <c r="U8">
        <v>5</v>
      </c>
      <c r="V8">
        <v>1</v>
      </c>
      <c r="W8">
        <f t="shared" si="6"/>
        <v>1</v>
      </c>
    </row>
    <row r="9" spans="1:23" x14ac:dyDescent="0.35">
      <c r="A9" t="s">
        <v>62</v>
      </c>
      <c r="B9">
        <v>1</v>
      </c>
      <c r="C9">
        <v>1</v>
      </c>
      <c r="D9">
        <v>0</v>
      </c>
      <c r="E9">
        <f t="shared" si="0"/>
        <v>0</v>
      </c>
      <c r="F9">
        <v>1</v>
      </c>
      <c r="G9">
        <v>0</v>
      </c>
      <c r="H9">
        <f t="shared" si="1"/>
        <v>0</v>
      </c>
      <c r="I9">
        <v>1</v>
      </c>
      <c r="J9">
        <v>0</v>
      </c>
      <c r="K9">
        <f t="shared" si="2"/>
        <v>0</v>
      </c>
      <c r="L9">
        <v>1</v>
      </c>
      <c r="M9">
        <v>0</v>
      </c>
      <c r="N9">
        <f t="shared" si="3"/>
        <v>0</v>
      </c>
      <c r="O9">
        <v>1</v>
      </c>
      <c r="P9">
        <v>0</v>
      </c>
      <c r="Q9">
        <f t="shared" si="4"/>
        <v>0</v>
      </c>
      <c r="R9">
        <v>1</v>
      </c>
      <c r="S9">
        <v>0</v>
      </c>
      <c r="T9">
        <f t="shared" si="5"/>
        <v>0</v>
      </c>
      <c r="U9">
        <v>1</v>
      </c>
      <c r="V9">
        <v>0</v>
      </c>
      <c r="W9">
        <f t="shared" si="6"/>
        <v>0</v>
      </c>
    </row>
    <row r="10" spans="1:23" ht="31.5" customHeight="1" x14ac:dyDescent="0.35"/>
    <row r="13" spans="1:23" x14ac:dyDescent="0.35">
      <c r="B13" t="s">
        <v>121</v>
      </c>
      <c r="C13" t="s">
        <v>158</v>
      </c>
      <c r="D13" t="s">
        <v>159</v>
      </c>
    </row>
    <row r="14" spans="1:23" x14ac:dyDescent="0.35">
      <c r="A14" t="s">
        <v>122</v>
      </c>
      <c r="B14">
        <f>CORREL($B$2:$B$9,$C$2:$C$9)</f>
        <v>0.97619047619047616</v>
      </c>
      <c r="C14">
        <f>SUMPRODUCT(E2:E9)/COUNT(E2:E9)</f>
        <v>0.25</v>
      </c>
      <c r="D14">
        <f>MAX(E2:E9)</f>
        <v>1</v>
      </c>
    </row>
    <row r="15" spans="1:23" x14ac:dyDescent="0.35">
      <c r="A15" t="s">
        <v>160</v>
      </c>
      <c r="B15">
        <f>CORREL($B$2:$B$9,$F$2:$F$9)</f>
        <v>1</v>
      </c>
      <c r="C15">
        <f>SUMPRODUCT(H2:H9)/COUNT(H2:H9)</f>
        <v>0</v>
      </c>
      <c r="D15">
        <f>MAX(H2:H9)</f>
        <v>0</v>
      </c>
    </row>
    <row r="16" spans="1:23" x14ac:dyDescent="0.35">
      <c r="A16" t="s">
        <v>161</v>
      </c>
      <c r="B16">
        <f>CORREL($B$2:$B$9,$I$2:$I$9)</f>
        <v>0.85462406575205663</v>
      </c>
      <c r="C16">
        <f>SUMPRODUCT(K2:K9)/COUNT(K2:K9)</f>
        <v>1</v>
      </c>
      <c r="D16">
        <f>MAX(K2:K9)</f>
        <v>3</v>
      </c>
    </row>
    <row r="17" spans="1:4" x14ac:dyDescent="0.35">
      <c r="A17" t="s">
        <v>144</v>
      </c>
      <c r="B17">
        <f>CORREL($B$2:$B$9,$O$2:$O$9)</f>
        <v>0.97619047619047616</v>
      </c>
      <c r="C17">
        <f>SUMPRODUCT(Q2:Q9)/COUNT(Q2:Q9)</f>
        <v>0.25</v>
      </c>
      <c r="D17">
        <f>MAX(Q2:Q9)</f>
        <v>1</v>
      </c>
    </row>
    <row r="18" spans="1:4" x14ac:dyDescent="0.35">
      <c r="A18" t="s">
        <v>145</v>
      </c>
      <c r="B18">
        <f>CORREL($B$2:$B$9,$R$2:$R$9)</f>
        <v>0.54761904761904767</v>
      </c>
      <c r="C18">
        <f>SUMPRODUCT(T2:T9)/COUNT(T2:T9)</f>
        <v>1.75</v>
      </c>
      <c r="D18">
        <f>MAX(T2:T9)</f>
        <v>4</v>
      </c>
    </row>
    <row r="19" spans="1:4" x14ac:dyDescent="0.35">
      <c r="A19" t="s">
        <v>150</v>
      </c>
      <c r="B19">
        <f>CORREL(B2:B9,U2:U9)</f>
        <v>0.97619047619047616</v>
      </c>
      <c r="C19">
        <f>SUMPRODUCT(W2:W9)/COUNT(W2:W9)</f>
        <v>0.25</v>
      </c>
      <c r="D19">
        <f>MAX(W2:W9)</f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8339-A422-4312-B8BA-2E17A364E900}">
  <dimension ref="A1:J12"/>
  <sheetViews>
    <sheetView zoomScale="55" zoomScaleNormal="55" workbookViewId="0">
      <selection activeCell="E4" sqref="E4"/>
    </sheetView>
  </sheetViews>
  <sheetFormatPr defaultRowHeight="14.5" x14ac:dyDescent="0.35"/>
  <cols>
    <col min="1" max="1" width="6.08984375" customWidth="1"/>
    <col min="2" max="2" width="28.54296875" customWidth="1"/>
    <col min="3" max="3" width="13.54296875" customWidth="1"/>
    <col min="4" max="4" width="13.36328125" customWidth="1"/>
    <col min="5" max="5" width="14.81640625" customWidth="1"/>
    <col min="6" max="6" width="17.1796875" customWidth="1"/>
    <col min="7" max="7" width="13.54296875" customWidth="1"/>
    <col min="8" max="8" width="18.36328125" customWidth="1"/>
    <col min="9" max="9" width="16.1796875" customWidth="1"/>
    <col min="10" max="10" width="15.1796875" customWidth="1"/>
  </cols>
  <sheetData>
    <row r="1" spans="1:10" ht="35" customHeight="1" x14ac:dyDescent="0.35">
      <c r="B1" s="3" t="s">
        <v>162</v>
      </c>
      <c r="C1" s="3" t="s">
        <v>163</v>
      </c>
      <c r="D1" s="3" t="s">
        <v>180</v>
      </c>
      <c r="E1" s="3" t="s">
        <v>181</v>
      </c>
      <c r="F1" s="3" t="s">
        <v>164</v>
      </c>
      <c r="G1" s="3" t="s">
        <v>165</v>
      </c>
      <c r="H1" s="3" t="s">
        <v>166</v>
      </c>
      <c r="I1" s="3"/>
      <c r="J1" s="3"/>
    </row>
    <row r="2" spans="1:10" ht="35" customHeight="1" x14ac:dyDescent="0.35">
      <c r="A2" s="6">
        <v>1</v>
      </c>
      <c r="B2" s="7" t="s">
        <v>168</v>
      </c>
      <c r="C2">
        <v>4</v>
      </c>
      <c r="D2">
        <v>4</v>
      </c>
      <c r="E2">
        <v>4</v>
      </c>
      <c r="F2" s="8">
        <f>AVERAGE(C2:E2)</f>
        <v>4</v>
      </c>
      <c r="G2" s="8">
        <f>_xlfn.STDEV.S(C2:E2)</f>
        <v>0</v>
      </c>
      <c r="H2" t="s">
        <v>179</v>
      </c>
    </row>
    <row r="3" spans="1:10" ht="47.5" customHeight="1" x14ac:dyDescent="0.35">
      <c r="A3" s="6">
        <v>2</v>
      </c>
      <c r="B3" s="7" t="s">
        <v>169</v>
      </c>
      <c r="C3">
        <v>5</v>
      </c>
      <c r="D3">
        <v>5</v>
      </c>
      <c r="E3">
        <v>4</v>
      </c>
      <c r="F3" s="8">
        <f t="shared" ref="F3:F11" si="0">AVERAGE(C3:E3)</f>
        <v>4.666666666666667</v>
      </c>
      <c r="G3" s="8">
        <f t="shared" ref="G3:G11" si="1">_xlfn.STDEV.S(C3:E3)</f>
        <v>0.57735026918962784</v>
      </c>
      <c r="H3" t="s">
        <v>178</v>
      </c>
    </row>
    <row r="4" spans="1:10" ht="59" customHeight="1" x14ac:dyDescent="0.35">
      <c r="A4" s="6">
        <v>3</v>
      </c>
      <c r="B4" s="7" t="s">
        <v>170</v>
      </c>
      <c r="C4">
        <v>5</v>
      </c>
      <c r="D4">
        <v>5</v>
      </c>
      <c r="E4">
        <v>5</v>
      </c>
      <c r="F4" s="8">
        <f t="shared" si="0"/>
        <v>5</v>
      </c>
      <c r="G4" s="8">
        <f t="shared" si="1"/>
        <v>0</v>
      </c>
      <c r="H4" t="s">
        <v>178</v>
      </c>
    </row>
    <row r="5" spans="1:10" ht="57.5" customHeight="1" x14ac:dyDescent="0.35">
      <c r="A5" s="6">
        <v>4</v>
      </c>
      <c r="B5" s="7" t="s">
        <v>171</v>
      </c>
      <c r="C5">
        <v>5</v>
      </c>
      <c r="D5">
        <v>5</v>
      </c>
      <c r="E5">
        <v>5</v>
      </c>
      <c r="F5" s="8">
        <f t="shared" si="0"/>
        <v>5</v>
      </c>
      <c r="G5" s="8">
        <f t="shared" si="1"/>
        <v>0</v>
      </c>
      <c r="H5" t="s">
        <v>178</v>
      </c>
    </row>
    <row r="6" spans="1:10" ht="43" customHeight="1" x14ac:dyDescent="0.35">
      <c r="A6" s="6">
        <v>5</v>
      </c>
      <c r="B6" s="7" t="s">
        <v>172</v>
      </c>
      <c r="C6">
        <v>4</v>
      </c>
      <c r="D6">
        <v>5</v>
      </c>
      <c r="E6">
        <v>5</v>
      </c>
      <c r="F6" s="8">
        <f t="shared" si="0"/>
        <v>4.666666666666667</v>
      </c>
      <c r="G6" s="8">
        <f t="shared" si="1"/>
        <v>0.57735026918962784</v>
      </c>
      <c r="H6" t="s">
        <v>178</v>
      </c>
    </row>
    <row r="7" spans="1:10" ht="38" customHeight="1" x14ac:dyDescent="0.35">
      <c r="A7" s="6">
        <v>6</v>
      </c>
      <c r="B7" s="7" t="s">
        <v>173</v>
      </c>
      <c r="C7">
        <v>4</v>
      </c>
      <c r="D7">
        <v>5</v>
      </c>
      <c r="E7">
        <v>5</v>
      </c>
      <c r="F7" s="8">
        <f t="shared" si="0"/>
        <v>4.666666666666667</v>
      </c>
      <c r="G7" s="8">
        <f t="shared" si="1"/>
        <v>0.57735026918962784</v>
      </c>
      <c r="H7" t="s">
        <v>178</v>
      </c>
    </row>
    <row r="8" spans="1:10" ht="47" customHeight="1" x14ac:dyDescent="0.35">
      <c r="A8" s="6">
        <v>7</v>
      </c>
      <c r="B8" s="7" t="s">
        <v>174</v>
      </c>
      <c r="C8">
        <v>5</v>
      </c>
      <c r="D8">
        <v>5</v>
      </c>
      <c r="E8">
        <v>4</v>
      </c>
      <c r="F8" s="8">
        <f t="shared" si="0"/>
        <v>4.666666666666667</v>
      </c>
      <c r="G8" s="8">
        <f t="shared" si="1"/>
        <v>0.57735026918962784</v>
      </c>
      <c r="H8" t="s">
        <v>178</v>
      </c>
    </row>
    <row r="9" spans="1:10" ht="57" customHeight="1" x14ac:dyDescent="0.35">
      <c r="A9" s="6">
        <v>8</v>
      </c>
      <c r="B9" s="7" t="s">
        <v>175</v>
      </c>
      <c r="C9">
        <v>5</v>
      </c>
      <c r="D9">
        <v>5</v>
      </c>
      <c r="E9">
        <v>5</v>
      </c>
      <c r="F9" s="8">
        <f t="shared" si="0"/>
        <v>5</v>
      </c>
      <c r="G9" s="8">
        <f t="shared" si="1"/>
        <v>0</v>
      </c>
      <c r="H9" t="s">
        <v>178</v>
      </c>
    </row>
    <row r="10" spans="1:10" ht="48" customHeight="1" x14ac:dyDescent="0.35">
      <c r="A10" s="6">
        <v>9</v>
      </c>
      <c r="B10" s="7" t="s">
        <v>176</v>
      </c>
      <c r="C10">
        <v>5</v>
      </c>
      <c r="D10">
        <v>5</v>
      </c>
      <c r="E10">
        <v>5</v>
      </c>
      <c r="F10" s="8">
        <f t="shared" si="0"/>
        <v>5</v>
      </c>
      <c r="G10" s="8">
        <f t="shared" si="1"/>
        <v>0</v>
      </c>
      <c r="H10" t="s">
        <v>178</v>
      </c>
    </row>
    <row r="11" spans="1:10" ht="39.5" customHeight="1" x14ac:dyDescent="0.35">
      <c r="A11" s="6">
        <v>10</v>
      </c>
      <c r="B11" s="7" t="s">
        <v>177</v>
      </c>
      <c r="C11">
        <v>4</v>
      </c>
      <c r="D11">
        <v>4</v>
      </c>
      <c r="E11">
        <v>4</v>
      </c>
      <c r="F11" s="8">
        <f t="shared" si="0"/>
        <v>4</v>
      </c>
      <c r="G11" s="8">
        <f t="shared" si="1"/>
        <v>0</v>
      </c>
      <c r="H11" t="s">
        <v>179</v>
      </c>
    </row>
    <row r="12" spans="1:10" ht="30.5" customHeight="1" x14ac:dyDescent="0.35">
      <c r="B12" s="5" t="s">
        <v>167</v>
      </c>
      <c r="C12">
        <f>AVERAGE(C2:C11)</f>
        <v>4.5999999999999996</v>
      </c>
      <c r="D12">
        <f>AVERAGE(D2:D11)</f>
        <v>4.8</v>
      </c>
      <c r="E12">
        <f t="shared" ref="E12:F12" si="2">AVERAGE(E2:E11)</f>
        <v>4.5999999999999996</v>
      </c>
      <c r="F12" s="8">
        <f t="shared" si="2"/>
        <v>4.666666666666667</v>
      </c>
      <c r="H12" t="s">
        <v>178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20F1-189D-42CA-A56F-91933C9BDE5D}">
  <dimension ref="A1:AF38"/>
  <sheetViews>
    <sheetView topLeftCell="A22" zoomScale="86" zoomScaleNormal="55" workbookViewId="0">
      <selection activeCell="R33" sqref="R33"/>
    </sheetView>
  </sheetViews>
  <sheetFormatPr defaultRowHeight="14.5" x14ac:dyDescent="0.35"/>
  <cols>
    <col min="1" max="1" width="17.36328125" customWidth="1"/>
    <col min="2" max="2" width="8.7265625" customWidth="1"/>
    <col min="3" max="3" width="10.6328125" bestFit="1" customWidth="1"/>
    <col min="27" max="27" width="15.81640625" customWidth="1"/>
    <col min="28" max="28" width="14.81640625" customWidth="1"/>
    <col min="29" max="29" width="13.453125" customWidth="1"/>
    <col min="30" max="30" width="14.54296875" customWidth="1"/>
    <col min="31" max="31" width="17.36328125" customWidth="1"/>
    <col min="32" max="32" width="17.08984375" customWidth="1"/>
  </cols>
  <sheetData>
    <row r="1" spans="1:32" x14ac:dyDescent="0.35">
      <c r="B1" s="13" t="s">
        <v>198</v>
      </c>
      <c r="C1" s="14"/>
      <c r="D1" s="14"/>
      <c r="E1" s="14"/>
      <c r="F1" s="14"/>
      <c r="G1" s="13" t="s">
        <v>199</v>
      </c>
      <c r="H1" s="14"/>
      <c r="I1" s="14"/>
      <c r="J1" s="14"/>
      <c r="K1" s="14"/>
      <c r="L1" s="13" t="s">
        <v>200</v>
      </c>
      <c r="M1" s="14"/>
      <c r="N1" s="14"/>
      <c r="O1" s="14"/>
      <c r="P1" s="14"/>
      <c r="Q1" s="13" t="s">
        <v>201</v>
      </c>
      <c r="R1" s="14"/>
      <c r="S1" s="14"/>
      <c r="T1" s="14"/>
      <c r="U1" s="14"/>
      <c r="V1" s="13" t="s">
        <v>202</v>
      </c>
      <c r="W1" s="14"/>
      <c r="X1" s="14"/>
      <c r="Y1" s="14"/>
      <c r="Z1" s="14"/>
      <c r="AA1" s="13"/>
      <c r="AB1" s="14"/>
      <c r="AC1" s="14"/>
      <c r="AD1" s="14"/>
      <c r="AE1" s="14"/>
    </row>
    <row r="2" spans="1:32" ht="28.5" customHeight="1" x14ac:dyDescent="0.35">
      <c r="A2" t="s">
        <v>197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 s="3" t="s">
        <v>208</v>
      </c>
      <c r="AB2" s="3" t="s">
        <v>209</v>
      </c>
      <c r="AC2" s="3" t="s">
        <v>210</v>
      </c>
      <c r="AD2" s="3" t="s">
        <v>219</v>
      </c>
      <c r="AE2" s="3" t="s">
        <v>215</v>
      </c>
      <c r="AF2" s="3" t="s">
        <v>221</v>
      </c>
    </row>
    <row r="3" spans="1:32" x14ac:dyDescent="0.35">
      <c r="A3">
        <v>1</v>
      </c>
      <c r="B3">
        <v>3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 s="12">
        <f>SUM(B3:F3)</f>
        <v>19</v>
      </c>
      <c r="AB3" s="12">
        <f>SUM(G3:K3)</f>
        <v>20</v>
      </c>
      <c r="AC3" s="12">
        <f>SUM(L3:P3)</f>
        <v>20</v>
      </c>
      <c r="AD3" s="12">
        <f>SUM(Q3:U3)</f>
        <v>20</v>
      </c>
      <c r="AE3" s="12">
        <f>SUM(V3:Z3)</f>
        <v>20</v>
      </c>
      <c r="AF3" s="12">
        <f>SUM(B3:Z3)</f>
        <v>99</v>
      </c>
    </row>
    <row r="4" spans="1:32" x14ac:dyDescent="0.35">
      <c r="A4">
        <v>2</v>
      </c>
      <c r="B4">
        <v>4</v>
      </c>
      <c r="C4">
        <v>4</v>
      </c>
      <c r="D4">
        <v>4</v>
      </c>
      <c r="E4">
        <v>5</v>
      </c>
      <c r="F4">
        <v>5</v>
      </c>
      <c r="G4">
        <v>5</v>
      </c>
      <c r="H4">
        <v>4</v>
      </c>
      <c r="I4">
        <v>5</v>
      </c>
      <c r="J4">
        <v>5</v>
      </c>
      <c r="K4">
        <v>5</v>
      </c>
      <c r="L4">
        <v>4</v>
      </c>
      <c r="M4">
        <v>5</v>
      </c>
      <c r="N4">
        <v>5</v>
      </c>
      <c r="O4">
        <v>4</v>
      </c>
      <c r="P4">
        <v>5</v>
      </c>
      <c r="Q4">
        <v>4</v>
      </c>
      <c r="R4">
        <v>4</v>
      </c>
      <c r="S4">
        <v>4</v>
      </c>
      <c r="T4">
        <v>5</v>
      </c>
      <c r="U4">
        <v>5</v>
      </c>
      <c r="V4">
        <v>4</v>
      </c>
      <c r="W4">
        <v>4</v>
      </c>
      <c r="X4">
        <v>5</v>
      </c>
      <c r="Y4">
        <v>4</v>
      </c>
      <c r="Z4">
        <v>5</v>
      </c>
      <c r="AA4" s="12">
        <f t="shared" ref="AA4:AA32" si="0">SUM(B4:F4)</f>
        <v>22</v>
      </c>
      <c r="AB4" s="12">
        <f t="shared" ref="AB4:AB32" si="1">SUM(G4:K4)</f>
        <v>24</v>
      </c>
      <c r="AC4" s="12">
        <f t="shared" ref="AC4:AC32" si="2">SUM(L4:P4)</f>
        <v>23</v>
      </c>
      <c r="AD4" s="12">
        <f t="shared" ref="AD4:AD32" si="3">SUM(Q4:U4)</f>
        <v>22</v>
      </c>
      <c r="AE4" s="12">
        <f t="shared" ref="AE4:AE32" si="4">SUM(V4:Z4)</f>
        <v>22</v>
      </c>
      <c r="AF4" s="12">
        <f t="shared" ref="AF4:AF32" si="5">SUM(B4:Z4)</f>
        <v>113</v>
      </c>
    </row>
    <row r="5" spans="1:32" x14ac:dyDescent="0.35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 s="12">
        <f t="shared" si="0"/>
        <v>20</v>
      </c>
      <c r="AB5" s="12">
        <f t="shared" si="1"/>
        <v>20</v>
      </c>
      <c r="AC5" s="12">
        <f t="shared" si="2"/>
        <v>20</v>
      </c>
      <c r="AD5" s="12">
        <f t="shared" si="3"/>
        <v>20</v>
      </c>
      <c r="AE5" s="12">
        <f t="shared" si="4"/>
        <v>20</v>
      </c>
      <c r="AF5" s="12">
        <f t="shared" si="5"/>
        <v>100</v>
      </c>
    </row>
    <row r="6" spans="1:32" x14ac:dyDescent="0.35">
      <c r="A6">
        <v>4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1</v>
      </c>
      <c r="K6">
        <v>2</v>
      </c>
      <c r="L6">
        <v>3</v>
      </c>
      <c r="M6">
        <v>3</v>
      </c>
      <c r="N6">
        <v>3</v>
      </c>
      <c r="O6">
        <v>3</v>
      </c>
      <c r="P6">
        <v>2</v>
      </c>
      <c r="Q6">
        <v>3</v>
      </c>
      <c r="R6">
        <v>3</v>
      </c>
      <c r="S6">
        <v>3</v>
      </c>
      <c r="T6">
        <v>3</v>
      </c>
      <c r="U6">
        <v>3</v>
      </c>
      <c r="V6">
        <v>2</v>
      </c>
      <c r="W6">
        <v>3</v>
      </c>
      <c r="X6">
        <v>3</v>
      </c>
      <c r="Y6">
        <v>3</v>
      </c>
      <c r="Z6">
        <v>3</v>
      </c>
      <c r="AA6" s="12">
        <f t="shared" si="0"/>
        <v>10</v>
      </c>
      <c r="AB6" s="12">
        <f t="shared" si="1"/>
        <v>9</v>
      </c>
      <c r="AC6" s="12">
        <f t="shared" si="2"/>
        <v>14</v>
      </c>
      <c r="AD6" s="12">
        <f t="shared" si="3"/>
        <v>15</v>
      </c>
      <c r="AE6" s="12">
        <f t="shared" si="4"/>
        <v>14</v>
      </c>
      <c r="AF6" s="12">
        <f t="shared" si="5"/>
        <v>62</v>
      </c>
    </row>
    <row r="7" spans="1:32" x14ac:dyDescent="0.35">
      <c r="A7">
        <v>5</v>
      </c>
      <c r="B7">
        <v>3</v>
      </c>
      <c r="C7">
        <v>3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3</v>
      </c>
      <c r="L7">
        <v>4</v>
      </c>
      <c r="M7">
        <v>4</v>
      </c>
      <c r="N7">
        <v>4</v>
      </c>
      <c r="O7">
        <v>4</v>
      </c>
      <c r="P7">
        <v>4</v>
      </c>
      <c r="Q7">
        <v>3</v>
      </c>
      <c r="R7">
        <v>4</v>
      </c>
      <c r="S7">
        <v>3</v>
      </c>
      <c r="T7">
        <v>3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 s="12">
        <f t="shared" si="0"/>
        <v>18</v>
      </c>
      <c r="AB7" s="12">
        <f t="shared" si="1"/>
        <v>19</v>
      </c>
      <c r="AC7" s="12">
        <f t="shared" si="2"/>
        <v>20</v>
      </c>
      <c r="AD7" s="12">
        <f t="shared" si="3"/>
        <v>17</v>
      </c>
      <c r="AE7" s="12">
        <f t="shared" si="4"/>
        <v>20</v>
      </c>
      <c r="AF7" s="12">
        <f t="shared" si="5"/>
        <v>94</v>
      </c>
    </row>
    <row r="8" spans="1:32" x14ac:dyDescent="0.35">
      <c r="A8">
        <v>6</v>
      </c>
      <c r="B8">
        <v>4</v>
      </c>
      <c r="C8">
        <v>4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4</v>
      </c>
      <c r="R8">
        <v>5</v>
      </c>
      <c r="S8">
        <v>4</v>
      </c>
      <c r="T8">
        <v>4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 s="12">
        <f t="shared" si="0"/>
        <v>23</v>
      </c>
      <c r="AB8" s="12">
        <f t="shared" si="1"/>
        <v>25</v>
      </c>
      <c r="AC8" s="12">
        <f t="shared" si="2"/>
        <v>25</v>
      </c>
      <c r="AD8" s="12">
        <f t="shared" si="3"/>
        <v>22</v>
      </c>
      <c r="AE8" s="12">
        <f t="shared" si="4"/>
        <v>25</v>
      </c>
      <c r="AF8" s="12">
        <f t="shared" si="5"/>
        <v>120</v>
      </c>
    </row>
    <row r="9" spans="1:32" x14ac:dyDescent="0.35">
      <c r="A9">
        <v>7</v>
      </c>
      <c r="B9">
        <v>4</v>
      </c>
      <c r="D9">
        <v>4</v>
      </c>
      <c r="E9">
        <v>4</v>
      </c>
      <c r="F9">
        <v>5</v>
      </c>
      <c r="G9">
        <v>4</v>
      </c>
      <c r="H9">
        <v>5</v>
      </c>
      <c r="I9">
        <v>4</v>
      </c>
      <c r="J9">
        <v>5</v>
      </c>
      <c r="K9">
        <v>5</v>
      </c>
      <c r="L9">
        <v>4</v>
      </c>
      <c r="M9">
        <v>4</v>
      </c>
      <c r="N9">
        <v>5</v>
      </c>
      <c r="O9">
        <v>4</v>
      </c>
      <c r="P9">
        <v>4</v>
      </c>
      <c r="Q9">
        <v>5</v>
      </c>
      <c r="R9">
        <v>5</v>
      </c>
      <c r="S9">
        <v>4</v>
      </c>
      <c r="T9">
        <v>5</v>
      </c>
      <c r="U9">
        <v>5</v>
      </c>
      <c r="V9">
        <v>5</v>
      </c>
      <c r="W9">
        <v>4</v>
      </c>
      <c r="X9">
        <v>5</v>
      </c>
      <c r="Y9">
        <v>4</v>
      </c>
      <c r="Z9">
        <v>4</v>
      </c>
      <c r="AA9" s="12">
        <f t="shared" si="0"/>
        <v>17</v>
      </c>
      <c r="AB9" s="12">
        <f t="shared" si="1"/>
        <v>23</v>
      </c>
      <c r="AC9" s="12">
        <f t="shared" si="2"/>
        <v>21</v>
      </c>
      <c r="AD9" s="12">
        <f t="shared" si="3"/>
        <v>24</v>
      </c>
      <c r="AE9" s="12">
        <f t="shared" si="4"/>
        <v>22</v>
      </c>
      <c r="AF9" s="12">
        <f t="shared" si="5"/>
        <v>107</v>
      </c>
    </row>
    <row r="10" spans="1:32" x14ac:dyDescent="0.35">
      <c r="A10">
        <v>8</v>
      </c>
      <c r="B10">
        <v>3</v>
      </c>
      <c r="C10">
        <v>3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5</v>
      </c>
      <c r="M10">
        <v>4</v>
      </c>
      <c r="N10">
        <v>4</v>
      </c>
      <c r="O10">
        <v>4</v>
      </c>
      <c r="P10">
        <v>5</v>
      </c>
      <c r="Q10">
        <v>5</v>
      </c>
      <c r="R10">
        <v>5</v>
      </c>
      <c r="S10">
        <v>4</v>
      </c>
      <c r="T10">
        <v>3</v>
      </c>
      <c r="U10">
        <v>4</v>
      </c>
      <c r="V10">
        <v>3</v>
      </c>
      <c r="W10">
        <v>4</v>
      </c>
      <c r="X10">
        <v>5</v>
      </c>
      <c r="Y10">
        <v>5</v>
      </c>
      <c r="Z10">
        <v>4</v>
      </c>
      <c r="AA10" s="12">
        <f t="shared" si="0"/>
        <v>18</v>
      </c>
      <c r="AB10" s="12">
        <f t="shared" si="1"/>
        <v>20</v>
      </c>
      <c r="AC10" s="12">
        <f t="shared" si="2"/>
        <v>22</v>
      </c>
      <c r="AD10" s="12">
        <f t="shared" si="3"/>
        <v>21</v>
      </c>
      <c r="AE10" s="12">
        <f t="shared" si="4"/>
        <v>21</v>
      </c>
      <c r="AF10" s="12">
        <f t="shared" si="5"/>
        <v>102</v>
      </c>
    </row>
    <row r="11" spans="1:32" x14ac:dyDescent="0.35">
      <c r="A11">
        <v>9</v>
      </c>
      <c r="B11">
        <v>5</v>
      </c>
      <c r="C11">
        <v>5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4</v>
      </c>
      <c r="K11">
        <v>5</v>
      </c>
      <c r="L11">
        <v>4</v>
      </c>
      <c r="M11">
        <v>4</v>
      </c>
      <c r="N11">
        <v>5</v>
      </c>
      <c r="O11">
        <v>4</v>
      </c>
      <c r="P11">
        <v>4</v>
      </c>
      <c r="Q11">
        <v>4</v>
      </c>
      <c r="R11">
        <v>5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 s="12">
        <f t="shared" si="0"/>
        <v>24</v>
      </c>
      <c r="AB11" s="12">
        <f t="shared" si="1"/>
        <v>24</v>
      </c>
      <c r="AC11" s="12">
        <f t="shared" si="2"/>
        <v>21</v>
      </c>
      <c r="AD11" s="12">
        <f t="shared" si="3"/>
        <v>21</v>
      </c>
      <c r="AE11" s="12">
        <f t="shared" si="4"/>
        <v>20</v>
      </c>
      <c r="AF11" s="12">
        <f t="shared" si="5"/>
        <v>110</v>
      </c>
    </row>
    <row r="12" spans="1:32" x14ac:dyDescent="0.35">
      <c r="A12">
        <v>10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 s="12">
        <f t="shared" si="0"/>
        <v>20</v>
      </c>
      <c r="AB12" s="12">
        <f t="shared" si="1"/>
        <v>20</v>
      </c>
      <c r="AC12" s="12">
        <f t="shared" si="2"/>
        <v>20</v>
      </c>
      <c r="AD12" s="12">
        <f t="shared" si="3"/>
        <v>20</v>
      </c>
      <c r="AE12" s="12">
        <f t="shared" si="4"/>
        <v>20</v>
      </c>
      <c r="AF12" s="12">
        <f t="shared" si="5"/>
        <v>100</v>
      </c>
    </row>
    <row r="13" spans="1:32" x14ac:dyDescent="0.35">
      <c r="A13">
        <v>11</v>
      </c>
      <c r="B13">
        <v>5</v>
      </c>
      <c r="C13">
        <v>5</v>
      </c>
      <c r="D13">
        <v>4</v>
      </c>
      <c r="E13">
        <v>5</v>
      </c>
      <c r="F13">
        <v>4</v>
      </c>
      <c r="G13">
        <v>4</v>
      </c>
      <c r="H13">
        <v>4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4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4</v>
      </c>
      <c r="Z13">
        <v>5</v>
      </c>
      <c r="AA13" s="12">
        <f t="shared" si="0"/>
        <v>23</v>
      </c>
      <c r="AB13" s="12">
        <f t="shared" si="1"/>
        <v>23</v>
      </c>
      <c r="AC13" s="12">
        <f t="shared" si="2"/>
        <v>24</v>
      </c>
      <c r="AD13" s="12">
        <f t="shared" si="3"/>
        <v>20</v>
      </c>
      <c r="AE13" s="12">
        <f t="shared" si="4"/>
        <v>24</v>
      </c>
      <c r="AF13" s="12">
        <f t="shared" si="5"/>
        <v>114</v>
      </c>
    </row>
    <row r="14" spans="1:32" x14ac:dyDescent="0.35">
      <c r="A14">
        <v>12</v>
      </c>
      <c r="B14">
        <v>5</v>
      </c>
      <c r="C14">
        <v>5</v>
      </c>
      <c r="D14">
        <v>5</v>
      </c>
      <c r="E14">
        <v>5</v>
      </c>
      <c r="F14">
        <v>4</v>
      </c>
      <c r="G14">
        <v>5</v>
      </c>
      <c r="H14">
        <v>5</v>
      </c>
      <c r="I14">
        <v>5</v>
      </c>
      <c r="J14">
        <v>5</v>
      </c>
      <c r="K14">
        <v>4</v>
      </c>
      <c r="L14">
        <v>4</v>
      </c>
      <c r="M14">
        <v>5</v>
      </c>
      <c r="N14">
        <v>4</v>
      </c>
      <c r="O14">
        <v>4</v>
      </c>
      <c r="P14">
        <v>4</v>
      </c>
      <c r="Q14">
        <v>5</v>
      </c>
      <c r="R14">
        <v>5</v>
      </c>
      <c r="S14">
        <v>5</v>
      </c>
      <c r="T14">
        <v>5</v>
      </c>
      <c r="U14">
        <v>4</v>
      </c>
      <c r="V14">
        <v>5</v>
      </c>
      <c r="W14">
        <v>5</v>
      </c>
      <c r="X14">
        <v>4</v>
      </c>
      <c r="Y14">
        <v>4</v>
      </c>
      <c r="Z14">
        <v>4</v>
      </c>
      <c r="AA14" s="12">
        <f t="shared" si="0"/>
        <v>24</v>
      </c>
      <c r="AB14" s="12">
        <f t="shared" si="1"/>
        <v>24</v>
      </c>
      <c r="AC14" s="12">
        <f t="shared" si="2"/>
        <v>21</v>
      </c>
      <c r="AD14" s="12">
        <f t="shared" si="3"/>
        <v>24</v>
      </c>
      <c r="AE14" s="12">
        <f t="shared" si="4"/>
        <v>22</v>
      </c>
      <c r="AF14" s="12">
        <f t="shared" si="5"/>
        <v>115</v>
      </c>
    </row>
    <row r="15" spans="1:32" x14ac:dyDescent="0.35">
      <c r="A15">
        <v>13</v>
      </c>
      <c r="B15">
        <v>4</v>
      </c>
      <c r="C15">
        <v>4</v>
      </c>
      <c r="D15">
        <v>5</v>
      </c>
      <c r="E15">
        <v>4</v>
      </c>
      <c r="F15">
        <v>5</v>
      </c>
      <c r="G15">
        <v>4</v>
      </c>
      <c r="H15">
        <v>4</v>
      </c>
      <c r="I15">
        <v>4</v>
      </c>
      <c r="J15">
        <v>4</v>
      </c>
      <c r="K15">
        <v>5</v>
      </c>
      <c r="L15">
        <v>4</v>
      </c>
      <c r="M15">
        <v>5</v>
      </c>
      <c r="N15">
        <v>4</v>
      </c>
      <c r="O15">
        <v>5</v>
      </c>
      <c r="P15">
        <v>5</v>
      </c>
      <c r="Q15">
        <v>5</v>
      </c>
      <c r="R15">
        <v>5</v>
      </c>
      <c r="S15">
        <v>5</v>
      </c>
      <c r="T15">
        <v>4</v>
      </c>
      <c r="U15">
        <v>5</v>
      </c>
      <c r="V15">
        <v>4</v>
      </c>
      <c r="W15">
        <v>5</v>
      </c>
      <c r="X15">
        <v>4</v>
      </c>
      <c r="Y15">
        <v>4</v>
      </c>
      <c r="Z15">
        <v>5</v>
      </c>
      <c r="AA15" s="12">
        <f t="shared" si="0"/>
        <v>22</v>
      </c>
      <c r="AB15" s="12">
        <f t="shared" si="1"/>
        <v>21</v>
      </c>
      <c r="AC15" s="12">
        <f t="shared" si="2"/>
        <v>23</v>
      </c>
      <c r="AD15" s="12">
        <f t="shared" si="3"/>
        <v>24</v>
      </c>
      <c r="AE15" s="12">
        <f t="shared" si="4"/>
        <v>22</v>
      </c>
      <c r="AF15" s="12">
        <f t="shared" si="5"/>
        <v>112</v>
      </c>
    </row>
    <row r="16" spans="1:32" x14ac:dyDescent="0.35">
      <c r="A16">
        <v>14</v>
      </c>
      <c r="B16">
        <v>3</v>
      </c>
      <c r="C16">
        <v>5</v>
      </c>
      <c r="D16">
        <v>5</v>
      </c>
      <c r="E16">
        <v>5</v>
      </c>
      <c r="F16">
        <v>4</v>
      </c>
      <c r="G16">
        <v>5</v>
      </c>
      <c r="H16">
        <v>4</v>
      </c>
      <c r="I16">
        <v>4</v>
      </c>
      <c r="J16">
        <v>4</v>
      </c>
      <c r="K16">
        <v>5</v>
      </c>
      <c r="L16">
        <v>5</v>
      </c>
      <c r="M16">
        <v>5</v>
      </c>
      <c r="N16">
        <v>4</v>
      </c>
      <c r="O16">
        <v>4</v>
      </c>
      <c r="P16">
        <v>5</v>
      </c>
      <c r="Q16">
        <v>4</v>
      </c>
      <c r="R16">
        <v>5</v>
      </c>
      <c r="S16">
        <v>4</v>
      </c>
      <c r="T16">
        <v>5</v>
      </c>
      <c r="U16">
        <v>5</v>
      </c>
      <c r="V16">
        <v>5</v>
      </c>
      <c r="W16">
        <v>4</v>
      </c>
      <c r="X16">
        <v>5</v>
      </c>
      <c r="Y16">
        <v>5</v>
      </c>
      <c r="Z16">
        <v>4</v>
      </c>
      <c r="AA16" s="12">
        <f t="shared" si="0"/>
        <v>22</v>
      </c>
      <c r="AB16" s="12">
        <f t="shared" si="1"/>
        <v>22</v>
      </c>
      <c r="AC16" s="12">
        <f t="shared" si="2"/>
        <v>23</v>
      </c>
      <c r="AD16" s="12">
        <f t="shared" si="3"/>
        <v>23</v>
      </c>
      <c r="AE16" s="12">
        <f t="shared" si="4"/>
        <v>23</v>
      </c>
      <c r="AF16" s="12">
        <f t="shared" si="5"/>
        <v>113</v>
      </c>
    </row>
    <row r="17" spans="1:32" x14ac:dyDescent="0.35">
      <c r="A17">
        <v>15</v>
      </c>
      <c r="B17">
        <v>3</v>
      </c>
      <c r="C17">
        <v>2</v>
      </c>
      <c r="D17">
        <v>3</v>
      </c>
      <c r="E17">
        <v>3</v>
      </c>
      <c r="F17">
        <v>4</v>
      </c>
      <c r="G17">
        <v>4</v>
      </c>
      <c r="H17">
        <v>3</v>
      </c>
      <c r="I17">
        <v>4</v>
      </c>
      <c r="J17">
        <v>2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4</v>
      </c>
      <c r="T17">
        <v>2</v>
      </c>
      <c r="U17">
        <v>3</v>
      </c>
      <c r="V17">
        <v>2</v>
      </c>
      <c r="W17">
        <v>3</v>
      </c>
      <c r="X17">
        <v>3</v>
      </c>
      <c r="Y17">
        <v>2</v>
      </c>
      <c r="Z17">
        <v>3</v>
      </c>
      <c r="AA17" s="12">
        <f t="shared" si="0"/>
        <v>15</v>
      </c>
      <c r="AB17" s="12">
        <f t="shared" si="1"/>
        <v>16</v>
      </c>
      <c r="AC17" s="12">
        <f t="shared" si="2"/>
        <v>15</v>
      </c>
      <c r="AD17" s="12">
        <f t="shared" si="3"/>
        <v>15</v>
      </c>
      <c r="AE17" s="12">
        <f t="shared" si="4"/>
        <v>13</v>
      </c>
      <c r="AF17" s="12">
        <f t="shared" si="5"/>
        <v>74</v>
      </c>
    </row>
    <row r="18" spans="1:32" x14ac:dyDescent="0.35">
      <c r="A18">
        <v>16</v>
      </c>
      <c r="B18">
        <v>3</v>
      </c>
      <c r="C18">
        <v>4</v>
      </c>
      <c r="D18">
        <v>4</v>
      </c>
      <c r="E18">
        <v>3</v>
      </c>
      <c r="F18">
        <v>4</v>
      </c>
      <c r="G18">
        <v>4</v>
      </c>
      <c r="H18">
        <v>4</v>
      </c>
      <c r="I18">
        <v>4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 s="12">
        <f t="shared" si="0"/>
        <v>18</v>
      </c>
      <c r="AB18" s="12">
        <f t="shared" si="1"/>
        <v>21</v>
      </c>
      <c r="AC18" s="12">
        <f t="shared" si="2"/>
        <v>25</v>
      </c>
      <c r="AD18" s="12">
        <f t="shared" si="3"/>
        <v>25</v>
      </c>
      <c r="AE18" s="12">
        <f t="shared" si="4"/>
        <v>25</v>
      </c>
      <c r="AF18" s="12">
        <f t="shared" si="5"/>
        <v>114</v>
      </c>
    </row>
    <row r="19" spans="1:32" x14ac:dyDescent="0.35">
      <c r="A19">
        <v>17</v>
      </c>
      <c r="B19">
        <v>5</v>
      </c>
      <c r="C19">
        <v>5</v>
      </c>
      <c r="D19">
        <v>4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4</v>
      </c>
      <c r="M19">
        <v>5</v>
      </c>
      <c r="N19">
        <v>4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 s="12">
        <f t="shared" si="0"/>
        <v>24</v>
      </c>
      <c r="AB19" s="12">
        <f t="shared" si="1"/>
        <v>25</v>
      </c>
      <c r="AC19" s="12">
        <f t="shared" si="2"/>
        <v>23</v>
      </c>
      <c r="AD19" s="12">
        <f t="shared" si="3"/>
        <v>25</v>
      </c>
      <c r="AE19" s="12">
        <f t="shared" si="4"/>
        <v>25</v>
      </c>
      <c r="AF19" s="12">
        <f t="shared" si="5"/>
        <v>122</v>
      </c>
    </row>
    <row r="20" spans="1:32" x14ac:dyDescent="0.35">
      <c r="A20">
        <v>18</v>
      </c>
      <c r="B20">
        <v>3</v>
      </c>
      <c r="C20">
        <v>3</v>
      </c>
      <c r="D20">
        <v>4</v>
      </c>
      <c r="E20">
        <v>3</v>
      </c>
      <c r="F20">
        <v>3</v>
      </c>
      <c r="G20">
        <v>4</v>
      </c>
      <c r="H20">
        <v>4</v>
      </c>
      <c r="I20">
        <v>5</v>
      </c>
      <c r="J20">
        <v>4</v>
      </c>
      <c r="K20">
        <v>3</v>
      </c>
      <c r="L20">
        <v>5</v>
      </c>
      <c r="M20">
        <v>5</v>
      </c>
      <c r="N20">
        <v>5</v>
      </c>
      <c r="O20">
        <v>5</v>
      </c>
      <c r="P20">
        <v>4</v>
      </c>
      <c r="Q20">
        <v>5</v>
      </c>
      <c r="R20">
        <v>5</v>
      </c>
      <c r="S20">
        <v>4</v>
      </c>
      <c r="T20">
        <v>4</v>
      </c>
      <c r="U20">
        <v>4</v>
      </c>
      <c r="V20">
        <v>5</v>
      </c>
      <c r="W20">
        <v>5</v>
      </c>
      <c r="X20">
        <v>4</v>
      </c>
      <c r="Y20">
        <v>4</v>
      </c>
      <c r="Z20">
        <v>4</v>
      </c>
      <c r="AA20" s="12">
        <f t="shared" si="0"/>
        <v>16</v>
      </c>
      <c r="AB20" s="12">
        <f t="shared" si="1"/>
        <v>20</v>
      </c>
      <c r="AC20" s="12">
        <f t="shared" si="2"/>
        <v>24</v>
      </c>
      <c r="AD20" s="12">
        <f t="shared" si="3"/>
        <v>22</v>
      </c>
      <c r="AE20" s="12">
        <f t="shared" si="4"/>
        <v>22</v>
      </c>
      <c r="AF20" s="12">
        <f t="shared" si="5"/>
        <v>104</v>
      </c>
    </row>
    <row r="21" spans="1:32" x14ac:dyDescent="0.35">
      <c r="A21">
        <v>19</v>
      </c>
      <c r="B21">
        <v>4</v>
      </c>
      <c r="C21">
        <v>3</v>
      </c>
      <c r="D21">
        <v>3</v>
      </c>
      <c r="E21">
        <v>4</v>
      </c>
      <c r="F21">
        <v>3</v>
      </c>
      <c r="G21">
        <v>4</v>
      </c>
      <c r="H21">
        <v>4</v>
      </c>
      <c r="I21">
        <v>4</v>
      </c>
      <c r="J21">
        <v>4</v>
      </c>
      <c r="K21">
        <v>3</v>
      </c>
      <c r="L21">
        <v>4</v>
      </c>
      <c r="M21">
        <v>4</v>
      </c>
      <c r="N21">
        <v>4</v>
      </c>
      <c r="O21">
        <v>4</v>
      </c>
      <c r="P21">
        <v>4</v>
      </c>
      <c r="Q21">
        <v>5</v>
      </c>
      <c r="R21">
        <v>5</v>
      </c>
      <c r="S21">
        <v>3</v>
      </c>
      <c r="T21">
        <v>3</v>
      </c>
      <c r="U21">
        <v>5</v>
      </c>
      <c r="V21">
        <v>5</v>
      </c>
      <c r="W21">
        <v>4</v>
      </c>
      <c r="X21">
        <v>4</v>
      </c>
      <c r="Y21">
        <v>4</v>
      </c>
      <c r="Z21">
        <v>4</v>
      </c>
      <c r="AA21" s="12">
        <f t="shared" si="0"/>
        <v>17</v>
      </c>
      <c r="AB21" s="12">
        <f t="shared" si="1"/>
        <v>19</v>
      </c>
      <c r="AC21" s="12">
        <f t="shared" si="2"/>
        <v>20</v>
      </c>
      <c r="AD21" s="12">
        <f t="shared" si="3"/>
        <v>21</v>
      </c>
      <c r="AE21" s="12">
        <f t="shared" si="4"/>
        <v>21</v>
      </c>
      <c r="AF21" s="12">
        <f t="shared" si="5"/>
        <v>98</v>
      </c>
    </row>
    <row r="22" spans="1:32" x14ac:dyDescent="0.35">
      <c r="A22">
        <v>20</v>
      </c>
      <c r="B22">
        <v>2</v>
      </c>
      <c r="C22">
        <v>2</v>
      </c>
      <c r="D22">
        <v>3</v>
      </c>
      <c r="E22">
        <v>3</v>
      </c>
      <c r="F22">
        <v>2</v>
      </c>
      <c r="G22">
        <v>4</v>
      </c>
      <c r="H22">
        <v>3</v>
      </c>
      <c r="J22">
        <v>3</v>
      </c>
      <c r="K22">
        <v>4</v>
      </c>
      <c r="L22">
        <v>4</v>
      </c>
      <c r="M22">
        <v>4</v>
      </c>
      <c r="N22">
        <v>5</v>
      </c>
      <c r="O22">
        <v>4</v>
      </c>
      <c r="P22">
        <v>5</v>
      </c>
      <c r="Q22">
        <v>4</v>
      </c>
      <c r="R22">
        <v>5</v>
      </c>
      <c r="S22">
        <v>4</v>
      </c>
      <c r="T22">
        <v>4</v>
      </c>
      <c r="U22">
        <v>4</v>
      </c>
      <c r="V22">
        <v>3</v>
      </c>
      <c r="W22">
        <v>4</v>
      </c>
      <c r="X22">
        <v>4</v>
      </c>
      <c r="Y22">
        <v>3</v>
      </c>
      <c r="Z22">
        <v>3</v>
      </c>
      <c r="AA22" s="12">
        <f t="shared" si="0"/>
        <v>12</v>
      </c>
      <c r="AB22" s="12">
        <f t="shared" si="1"/>
        <v>14</v>
      </c>
      <c r="AC22" s="12">
        <f t="shared" si="2"/>
        <v>22</v>
      </c>
      <c r="AD22" s="12">
        <f t="shared" si="3"/>
        <v>21</v>
      </c>
      <c r="AE22" s="12">
        <f t="shared" si="4"/>
        <v>17</v>
      </c>
      <c r="AF22" s="12">
        <f t="shared" si="5"/>
        <v>86</v>
      </c>
    </row>
    <row r="23" spans="1:32" x14ac:dyDescent="0.35">
      <c r="A23">
        <v>21</v>
      </c>
      <c r="B23">
        <v>2</v>
      </c>
      <c r="C23">
        <v>2</v>
      </c>
      <c r="D23">
        <v>2</v>
      </c>
      <c r="E23">
        <v>2</v>
      </c>
      <c r="F23">
        <v>2</v>
      </c>
      <c r="G23">
        <v>4</v>
      </c>
      <c r="H23">
        <v>3</v>
      </c>
      <c r="I23">
        <v>4</v>
      </c>
      <c r="J23">
        <v>4</v>
      </c>
      <c r="K23">
        <v>4</v>
      </c>
      <c r="L23">
        <v>4</v>
      </c>
      <c r="M23">
        <v>3</v>
      </c>
      <c r="N23">
        <v>4</v>
      </c>
      <c r="O23">
        <v>3</v>
      </c>
      <c r="P23">
        <v>3</v>
      </c>
      <c r="Q23">
        <v>2</v>
      </c>
      <c r="R23">
        <v>2</v>
      </c>
      <c r="S23">
        <v>2</v>
      </c>
      <c r="T23">
        <v>2</v>
      </c>
      <c r="U23">
        <v>3</v>
      </c>
      <c r="V23">
        <v>4</v>
      </c>
      <c r="W23">
        <v>3</v>
      </c>
      <c r="X23">
        <v>4</v>
      </c>
      <c r="Y23">
        <v>4</v>
      </c>
      <c r="Z23">
        <v>3</v>
      </c>
      <c r="AA23" s="12">
        <f t="shared" si="0"/>
        <v>10</v>
      </c>
      <c r="AB23" s="12">
        <f t="shared" si="1"/>
        <v>19</v>
      </c>
      <c r="AC23" s="12">
        <f t="shared" si="2"/>
        <v>17</v>
      </c>
      <c r="AD23" s="12">
        <f t="shared" si="3"/>
        <v>11</v>
      </c>
      <c r="AE23" s="12">
        <f t="shared" si="4"/>
        <v>18</v>
      </c>
      <c r="AF23" s="12">
        <f t="shared" si="5"/>
        <v>75</v>
      </c>
    </row>
    <row r="24" spans="1:32" x14ac:dyDescent="0.35">
      <c r="A24">
        <v>22</v>
      </c>
      <c r="B24">
        <v>4</v>
      </c>
      <c r="C24">
        <v>4</v>
      </c>
      <c r="D24">
        <v>3</v>
      </c>
      <c r="E24">
        <v>3</v>
      </c>
      <c r="F24">
        <v>3</v>
      </c>
      <c r="G24">
        <v>3</v>
      </c>
      <c r="H24">
        <v>4</v>
      </c>
      <c r="I24">
        <v>4</v>
      </c>
      <c r="J24">
        <v>3</v>
      </c>
      <c r="K24">
        <v>4</v>
      </c>
      <c r="L24">
        <v>4</v>
      </c>
      <c r="M24">
        <v>4</v>
      </c>
      <c r="N24">
        <v>3</v>
      </c>
      <c r="O24">
        <v>3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3</v>
      </c>
      <c r="W24">
        <v>3</v>
      </c>
      <c r="X24">
        <v>4</v>
      </c>
      <c r="Y24">
        <v>4</v>
      </c>
      <c r="Z24">
        <v>4</v>
      </c>
      <c r="AA24" s="12">
        <f t="shared" si="0"/>
        <v>17</v>
      </c>
      <c r="AB24" s="12">
        <f t="shared" si="1"/>
        <v>18</v>
      </c>
      <c r="AC24" s="12">
        <f t="shared" si="2"/>
        <v>18</v>
      </c>
      <c r="AD24" s="12">
        <f t="shared" si="3"/>
        <v>20</v>
      </c>
      <c r="AE24" s="12">
        <f t="shared" si="4"/>
        <v>18</v>
      </c>
      <c r="AF24" s="12">
        <f t="shared" si="5"/>
        <v>91</v>
      </c>
    </row>
    <row r="25" spans="1:32" x14ac:dyDescent="0.35">
      <c r="A25">
        <v>23</v>
      </c>
      <c r="B25">
        <v>5</v>
      </c>
      <c r="C25">
        <v>5</v>
      </c>
      <c r="D25">
        <v>5</v>
      </c>
      <c r="E25">
        <v>5</v>
      </c>
      <c r="F25">
        <v>5</v>
      </c>
      <c r="G25">
        <v>4</v>
      </c>
      <c r="H25">
        <v>5</v>
      </c>
      <c r="I25">
        <v>3</v>
      </c>
      <c r="J25">
        <v>4</v>
      </c>
      <c r="K25">
        <v>4</v>
      </c>
      <c r="L25">
        <v>5</v>
      </c>
      <c r="M25">
        <v>5</v>
      </c>
      <c r="N25">
        <v>5</v>
      </c>
      <c r="O25">
        <v>5</v>
      </c>
      <c r="P25">
        <v>4</v>
      </c>
      <c r="Q25">
        <v>5</v>
      </c>
      <c r="R25">
        <v>4</v>
      </c>
      <c r="S25">
        <v>5</v>
      </c>
      <c r="T25">
        <v>4</v>
      </c>
      <c r="U25">
        <v>5</v>
      </c>
      <c r="V25">
        <v>4</v>
      </c>
      <c r="W25">
        <v>5</v>
      </c>
      <c r="X25">
        <v>4</v>
      </c>
      <c r="Y25">
        <v>4</v>
      </c>
      <c r="Z25">
        <v>5</v>
      </c>
      <c r="AA25" s="12">
        <f t="shared" si="0"/>
        <v>25</v>
      </c>
      <c r="AB25" s="12">
        <f t="shared" si="1"/>
        <v>20</v>
      </c>
      <c r="AC25" s="12">
        <f t="shared" si="2"/>
        <v>24</v>
      </c>
      <c r="AD25" s="12">
        <f t="shared" si="3"/>
        <v>23</v>
      </c>
      <c r="AE25" s="12">
        <f t="shared" si="4"/>
        <v>22</v>
      </c>
      <c r="AF25" s="12">
        <f t="shared" si="5"/>
        <v>114</v>
      </c>
    </row>
    <row r="26" spans="1:32" x14ac:dyDescent="0.35">
      <c r="A26">
        <v>24</v>
      </c>
      <c r="B26">
        <v>4</v>
      </c>
      <c r="C26">
        <v>5</v>
      </c>
      <c r="D26">
        <v>4</v>
      </c>
      <c r="E26">
        <v>5</v>
      </c>
      <c r="F26">
        <v>3</v>
      </c>
      <c r="G26">
        <v>5</v>
      </c>
      <c r="H26">
        <v>5</v>
      </c>
      <c r="I26">
        <v>5</v>
      </c>
      <c r="J26">
        <v>5</v>
      </c>
      <c r="K26">
        <v>3</v>
      </c>
      <c r="L26">
        <v>5</v>
      </c>
      <c r="M26">
        <v>5</v>
      </c>
      <c r="N26">
        <v>4</v>
      </c>
      <c r="O26">
        <v>5</v>
      </c>
      <c r="P26">
        <v>5</v>
      </c>
      <c r="Q26">
        <v>3</v>
      </c>
      <c r="R26">
        <v>3</v>
      </c>
      <c r="S26">
        <v>3</v>
      </c>
      <c r="T26">
        <v>4</v>
      </c>
      <c r="U26">
        <v>4</v>
      </c>
      <c r="V26">
        <v>5</v>
      </c>
      <c r="W26">
        <v>5</v>
      </c>
      <c r="X26">
        <v>5</v>
      </c>
      <c r="Y26">
        <v>5</v>
      </c>
      <c r="Z26">
        <v>5</v>
      </c>
      <c r="AA26" s="12">
        <f t="shared" si="0"/>
        <v>21</v>
      </c>
      <c r="AB26" s="12">
        <f t="shared" si="1"/>
        <v>23</v>
      </c>
      <c r="AC26" s="12">
        <f t="shared" si="2"/>
        <v>24</v>
      </c>
      <c r="AD26" s="12">
        <f t="shared" si="3"/>
        <v>17</v>
      </c>
      <c r="AE26" s="12">
        <f t="shared" si="4"/>
        <v>25</v>
      </c>
      <c r="AF26" s="12">
        <f t="shared" si="5"/>
        <v>110</v>
      </c>
    </row>
    <row r="27" spans="1:32" x14ac:dyDescent="0.35">
      <c r="A27">
        <v>25</v>
      </c>
      <c r="B27">
        <v>3</v>
      </c>
      <c r="C27">
        <v>3</v>
      </c>
      <c r="D27">
        <v>4</v>
      </c>
      <c r="E27">
        <v>4</v>
      </c>
      <c r="F27">
        <v>3</v>
      </c>
      <c r="G27">
        <v>5</v>
      </c>
      <c r="H27">
        <v>5</v>
      </c>
      <c r="I27">
        <v>5</v>
      </c>
      <c r="J27">
        <v>4</v>
      </c>
      <c r="K27">
        <v>4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 s="12">
        <f t="shared" si="0"/>
        <v>17</v>
      </c>
      <c r="AB27" s="12">
        <f t="shared" si="1"/>
        <v>23</v>
      </c>
      <c r="AC27" s="12">
        <f t="shared" si="2"/>
        <v>25</v>
      </c>
      <c r="AD27" s="12">
        <f t="shared" si="3"/>
        <v>25</v>
      </c>
      <c r="AE27" s="12">
        <f t="shared" si="4"/>
        <v>25</v>
      </c>
      <c r="AF27" s="12">
        <f t="shared" si="5"/>
        <v>115</v>
      </c>
    </row>
    <row r="28" spans="1:32" x14ac:dyDescent="0.35">
      <c r="A28">
        <v>26</v>
      </c>
      <c r="B28">
        <v>4</v>
      </c>
      <c r="C28">
        <v>4</v>
      </c>
      <c r="D28">
        <v>4</v>
      </c>
      <c r="E28">
        <v>5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3</v>
      </c>
      <c r="M28">
        <v>4</v>
      </c>
      <c r="N28">
        <v>3</v>
      </c>
      <c r="O28">
        <v>3</v>
      </c>
      <c r="P28">
        <v>3</v>
      </c>
      <c r="Q28">
        <v>4</v>
      </c>
      <c r="R28">
        <v>4</v>
      </c>
      <c r="S28">
        <v>4</v>
      </c>
      <c r="T28">
        <v>4</v>
      </c>
      <c r="U28">
        <v>3</v>
      </c>
      <c r="V28">
        <v>4</v>
      </c>
      <c r="W28">
        <v>4</v>
      </c>
      <c r="X28">
        <v>4</v>
      </c>
      <c r="Y28">
        <v>4</v>
      </c>
      <c r="Z28">
        <v>4</v>
      </c>
      <c r="AA28" s="12">
        <f t="shared" si="0"/>
        <v>21</v>
      </c>
      <c r="AB28" s="12">
        <f t="shared" si="1"/>
        <v>19</v>
      </c>
      <c r="AC28" s="12">
        <f t="shared" si="2"/>
        <v>16</v>
      </c>
      <c r="AD28" s="12">
        <f t="shared" si="3"/>
        <v>19</v>
      </c>
      <c r="AE28" s="12">
        <f t="shared" si="4"/>
        <v>20</v>
      </c>
      <c r="AF28" s="12">
        <f t="shared" si="5"/>
        <v>95</v>
      </c>
    </row>
    <row r="29" spans="1:32" x14ac:dyDescent="0.35">
      <c r="A29">
        <v>27</v>
      </c>
      <c r="B29">
        <v>5</v>
      </c>
      <c r="C29">
        <v>5</v>
      </c>
      <c r="D29">
        <v>5</v>
      </c>
      <c r="E29">
        <v>4</v>
      </c>
      <c r="F29">
        <v>4</v>
      </c>
      <c r="G29">
        <v>5</v>
      </c>
      <c r="H29">
        <v>5</v>
      </c>
      <c r="I29">
        <v>4</v>
      </c>
      <c r="J29">
        <v>5</v>
      </c>
      <c r="K29">
        <v>4</v>
      </c>
      <c r="L29">
        <v>4</v>
      </c>
      <c r="M29">
        <v>5</v>
      </c>
      <c r="N29">
        <v>5</v>
      </c>
      <c r="O29">
        <v>4</v>
      </c>
      <c r="P29">
        <v>5</v>
      </c>
      <c r="Q29">
        <v>4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4</v>
      </c>
      <c r="Z29">
        <v>5</v>
      </c>
      <c r="AA29" s="12">
        <f t="shared" si="0"/>
        <v>23</v>
      </c>
      <c r="AB29" s="12">
        <f t="shared" si="1"/>
        <v>23</v>
      </c>
      <c r="AC29" s="12">
        <f t="shared" si="2"/>
        <v>23</v>
      </c>
      <c r="AD29" s="12">
        <f t="shared" si="3"/>
        <v>24</v>
      </c>
      <c r="AE29" s="12">
        <f t="shared" si="4"/>
        <v>24</v>
      </c>
      <c r="AF29" s="12">
        <f t="shared" si="5"/>
        <v>117</v>
      </c>
    </row>
    <row r="30" spans="1:32" x14ac:dyDescent="0.35">
      <c r="A30">
        <v>28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4</v>
      </c>
      <c r="K30">
        <v>5</v>
      </c>
      <c r="L30">
        <v>5</v>
      </c>
      <c r="M30">
        <v>5</v>
      </c>
      <c r="N30">
        <v>4</v>
      </c>
      <c r="O30">
        <v>5</v>
      </c>
      <c r="P30">
        <v>5</v>
      </c>
      <c r="Q30">
        <v>5</v>
      </c>
      <c r="R30">
        <v>5</v>
      </c>
      <c r="S30">
        <v>4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 s="12">
        <f t="shared" si="0"/>
        <v>25</v>
      </c>
      <c r="AB30" s="12">
        <f t="shared" si="1"/>
        <v>24</v>
      </c>
      <c r="AC30" s="12">
        <f t="shared" si="2"/>
        <v>24</v>
      </c>
      <c r="AD30" s="12">
        <f t="shared" si="3"/>
        <v>24</v>
      </c>
      <c r="AE30" s="12">
        <f t="shared" si="4"/>
        <v>25</v>
      </c>
      <c r="AF30" s="12">
        <f t="shared" si="5"/>
        <v>122</v>
      </c>
    </row>
    <row r="31" spans="1:32" x14ac:dyDescent="0.35">
      <c r="A31">
        <v>29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5</v>
      </c>
      <c r="J31">
        <v>5</v>
      </c>
      <c r="K31">
        <v>4</v>
      </c>
      <c r="L31">
        <v>4</v>
      </c>
      <c r="M31">
        <v>5</v>
      </c>
      <c r="N31">
        <v>5</v>
      </c>
      <c r="O31">
        <v>4</v>
      </c>
      <c r="P31">
        <v>5</v>
      </c>
      <c r="Q31">
        <v>5</v>
      </c>
      <c r="R31">
        <v>5</v>
      </c>
      <c r="S31">
        <v>4</v>
      </c>
      <c r="T31">
        <v>4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 s="12">
        <f t="shared" si="0"/>
        <v>25</v>
      </c>
      <c r="AB31" s="12">
        <f t="shared" si="1"/>
        <v>23</v>
      </c>
      <c r="AC31" s="12">
        <f t="shared" si="2"/>
        <v>23</v>
      </c>
      <c r="AD31" s="12">
        <f t="shared" si="3"/>
        <v>23</v>
      </c>
      <c r="AE31" s="12">
        <f t="shared" si="4"/>
        <v>25</v>
      </c>
      <c r="AF31" s="12">
        <f t="shared" si="5"/>
        <v>119</v>
      </c>
    </row>
    <row r="32" spans="1:32" x14ac:dyDescent="0.35">
      <c r="A32">
        <v>30</v>
      </c>
      <c r="B32">
        <v>5</v>
      </c>
      <c r="C32">
        <v>3</v>
      </c>
      <c r="D32">
        <v>4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4</v>
      </c>
      <c r="W32">
        <v>5</v>
      </c>
      <c r="X32">
        <v>5</v>
      </c>
      <c r="Y32">
        <v>5</v>
      </c>
      <c r="Z32">
        <v>5</v>
      </c>
      <c r="AA32" s="12">
        <f t="shared" si="0"/>
        <v>22</v>
      </c>
      <c r="AB32" s="12">
        <f t="shared" si="1"/>
        <v>24</v>
      </c>
      <c r="AC32" s="12">
        <f t="shared" si="2"/>
        <v>25</v>
      </c>
      <c r="AD32" s="12">
        <f t="shared" si="3"/>
        <v>25</v>
      </c>
      <c r="AE32" s="12">
        <f t="shared" si="4"/>
        <v>24</v>
      </c>
      <c r="AF32" s="12">
        <f t="shared" si="5"/>
        <v>120</v>
      </c>
    </row>
    <row r="33" spans="1:32" x14ac:dyDescent="0.35">
      <c r="A33" t="s">
        <v>218</v>
      </c>
      <c r="B33" s="8">
        <f>_xlfn.VAR.S(B3:B32)</f>
        <v>0.9712643678160926</v>
      </c>
      <c r="C33" s="8">
        <f t="shared" ref="C33:Z33" si="6">_xlfn.VAR.S(C3:C32)</f>
        <v>1.1231527093596054</v>
      </c>
      <c r="D33" s="8">
        <f t="shared" si="6"/>
        <v>0.72298850574712548</v>
      </c>
      <c r="E33" s="8">
        <f t="shared" si="6"/>
        <v>0.8781609195402309</v>
      </c>
      <c r="F33" s="8">
        <f t="shared" si="6"/>
        <v>0.89195402298850601</v>
      </c>
      <c r="G33" s="8">
        <f t="shared" si="6"/>
        <v>0.54712643678160944</v>
      </c>
      <c r="H33" s="8">
        <f t="shared" si="6"/>
        <v>0.57931034482758459</v>
      </c>
      <c r="I33" s="8">
        <f t="shared" si="6"/>
        <v>0.50738916256157807</v>
      </c>
      <c r="J33" s="8">
        <f t="shared" si="6"/>
        <v>0.8781609195402309</v>
      </c>
      <c r="K33" s="8">
        <f t="shared" si="6"/>
        <v>0.61609195402298877</v>
      </c>
      <c r="L33" s="8">
        <f t="shared" si="6"/>
        <v>0.40919540229885082</v>
      </c>
      <c r="M33" s="8">
        <f t="shared" si="6"/>
        <v>0.46091954022988529</v>
      </c>
      <c r="N33" s="8">
        <f t="shared" si="6"/>
        <v>0.4931034482758605</v>
      </c>
      <c r="O33" s="8">
        <f t="shared" si="6"/>
        <v>0.51034482758620536</v>
      </c>
      <c r="P33" s="8">
        <f t="shared" si="6"/>
        <v>0.63103448275861918</v>
      </c>
      <c r="Q33" s="8">
        <f t="shared" si="6"/>
        <v>0.6896551724137916</v>
      </c>
      <c r="R33" s="8">
        <f t="shared" si="6"/>
        <v>0.66781609195402325</v>
      </c>
      <c r="S33" s="8">
        <f t="shared" si="6"/>
        <v>0.57586206896551684</v>
      </c>
      <c r="T33" s="8">
        <f t="shared" si="6"/>
        <v>0.78275862068965474</v>
      </c>
      <c r="U33" s="8">
        <f t="shared" si="6"/>
        <v>0.51609195402298957</v>
      </c>
      <c r="V33" s="8">
        <f t="shared" si="6"/>
        <v>0.80574712643678192</v>
      </c>
      <c r="W33" s="8">
        <f t="shared" si="6"/>
        <v>0.50574712643678033</v>
      </c>
      <c r="X33" s="8">
        <f t="shared" si="6"/>
        <v>0.38620689655172569</v>
      </c>
      <c r="Y33" s="8">
        <f t="shared" si="6"/>
        <v>0.51034482758620536</v>
      </c>
      <c r="Z33" s="8">
        <f t="shared" si="6"/>
        <v>0.4931034482758605</v>
      </c>
      <c r="AA33" s="8">
        <f>_xlfn.VAR.S(AA3:AA32)</f>
        <v>17.885057471264346</v>
      </c>
      <c r="AB33" s="8">
        <f t="shared" ref="AB33:AE33" si="7">_xlfn.VAR.S(AB3:AB32)</f>
        <v>12.07471264367814</v>
      </c>
      <c r="AC33" s="8">
        <f t="shared" si="7"/>
        <v>9.2241379310344822</v>
      </c>
      <c r="AD33" s="8">
        <f t="shared" si="7"/>
        <v>11.610344827586232</v>
      </c>
      <c r="AE33" s="8">
        <f t="shared" si="7"/>
        <v>10.188505747126454</v>
      </c>
      <c r="AF33" s="8">
        <f>_xlfn.VAR.S(AF3:AF32)</f>
        <v>229.97816091953931</v>
      </c>
    </row>
    <row r="34" spans="1:32" x14ac:dyDescent="0.35">
      <c r="B34" s="8"/>
      <c r="G34" s="8"/>
      <c r="L34" s="8"/>
      <c r="Q34" s="8"/>
      <c r="V34" s="8"/>
    </row>
    <row r="35" spans="1:32" x14ac:dyDescent="0.35">
      <c r="B35" s="8"/>
    </row>
    <row r="37" spans="1:32" ht="31" customHeight="1" x14ac:dyDescent="0.35">
      <c r="A37" t="s">
        <v>220</v>
      </c>
      <c r="B37" s="9" cm="1">
        <f t="array" ref="B37">(5/4)*(1-SUM(B33:F33/AA33))</f>
        <v>0.92937477047374184</v>
      </c>
      <c r="C37" s="9" cm="1">
        <f t="array" ref="C37">(5/4)*(1-SUM(G33:K33/AB33))</f>
        <v>0.92617461072958374</v>
      </c>
      <c r="D37" cm="1">
        <f t="array" ref="D37">(5/4)*(1-SUM(L33:P33/AC33))</f>
        <v>0.91059190031152704</v>
      </c>
      <c r="E37" cm="1">
        <f t="array" ref="E37">(5/4)*(1-SUM(Q33:U33/AD33))</f>
        <v>0.90201465201465281</v>
      </c>
      <c r="F37" cm="1">
        <f t="array" ref="F37">(5/4)*(1-SUM(V33:Z33/AE33))</f>
        <v>0.91860333935018135</v>
      </c>
    </row>
    <row r="38" spans="1:32" x14ac:dyDescent="0.35">
      <c r="A38" t="s">
        <v>222</v>
      </c>
      <c r="B38">
        <f>(25/24*(1-SUM(B33:Z33)/AF33))</f>
        <v>0.96850061439402735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9DEA-9246-4B58-8168-3BCB74A6D0DC}">
  <dimension ref="A1:F14"/>
  <sheetViews>
    <sheetView topLeftCell="A4" zoomScaleNormal="100" workbookViewId="0">
      <selection activeCell="B12" sqref="B12:F14"/>
    </sheetView>
  </sheetViews>
  <sheetFormatPr defaultRowHeight="14.5" x14ac:dyDescent="0.35"/>
  <cols>
    <col min="1" max="1" width="34.7265625" customWidth="1"/>
    <col min="2" max="2" width="16" customWidth="1"/>
    <col min="3" max="3" width="16.81640625" customWidth="1"/>
    <col min="4" max="4" width="17.08984375" customWidth="1"/>
    <col min="5" max="5" width="17.36328125" customWidth="1"/>
    <col min="6" max="6" width="16" customWidth="1"/>
  </cols>
  <sheetData>
    <row r="1" spans="1:6" ht="46" customHeight="1" x14ac:dyDescent="0.35">
      <c r="A1" s="11" t="s">
        <v>182</v>
      </c>
      <c r="B1" s="10" t="s">
        <v>193</v>
      </c>
      <c r="C1" s="10" t="s">
        <v>194</v>
      </c>
      <c r="D1" s="10" t="s">
        <v>195</v>
      </c>
      <c r="E1" s="10" t="s">
        <v>205</v>
      </c>
      <c r="F1" s="10" t="s">
        <v>206</v>
      </c>
    </row>
    <row r="2" spans="1:6" x14ac:dyDescent="0.35">
      <c r="A2" t="s">
        <v>183</v>
      </c>
      <c r="B2">
        <v>4</v>
      </c>
      <c r="C2">
        <v>4</v>
      </c>
      <c r="D2">
        <v>4</v>
      </c>
      <c r="E2">
        <v>4</v>
      </c>
      <c r="F2">
        <v>4</v>
      </c>
    </row>
    <row r="3" spans="1:6" x14ac:dyDescent="0.35">
      <c r="A3" t="s">
        <v>184</v>
      </c>
      <c r="B3">
        <v>5</v>
      </c>
      <c r="C3">
        <v>5</v>
      </c>
      <c r="D3">
        <v>5</v>
      </c>
      <c r="E3">
        <v>5</v>
      </c>
      <c r="F3">
        <v>5</v>
      </c>
    </row>
    <row r="4" spans="1:6" x14ac:dyDescent="0.35">
      <c r="A4" t="s">
        <v>185</v>
      </c>
      <c r="B4">
        <v>4</v>
      </c>
      <c r="C4">
        <v>4</v>
      </c>
      <c r="D4">
        <v>4</v>
      </c>
      <c r="E4">
        <v>5</v>
      </c>
      <c r="F4">
        <v>4</v>
      </c>
    </row>
    <row r="5" spans="1:6" x14ac:dyDescent="0.35">
      <c r="A5" t="s">
        <v>186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35">
      <c r="A6" t="s">
        <v>187</v>
      </c>
      <c r="B6">
        <v>4</v>
      </c>
      <c r="C6">
        <v>4</v>
      </c>
      <c r="D6">
        <v>5</v>
      </c>
      <c r="E6">
        <v>5</v>
      </c>
      <c r="F6">
        <v>5</v>
      </c>
    </row>
    <row r="7" spans="1:6" x14ac:dyDescent="0.35">
      <c r="A7" t="s">
        <v>188</v>
      </c>
      <c r="B7">
        <v>4</v>
      </c>
      <c r="C7">
        <v>4</v>
      </c>
      <c r="D7">
        <v>4</v>
      </c>
      <c r="E7">
        <v>4</v>
      </c>
      <c r="F7">
        <v>4</v>
      </c>
    </row>
    <row r="8" spans="1:6" x14ac:dyDescent="0.35">
      <c r="A8" t="s">
        <v>189</v>
      </c>
      <c r="B8">
        <v>4</v>
      </c>
      <c r="C8">
        <v>5</v>
      </c>
      <c r="D8">
        <v>5</v>
      </c>
      <c r="E8">
        <v>5</v>
      </c>
      <c r="F8">
        <v>4</v>
      </c>
    </row>
    <row r="9" spans="1:6" x14ac:dyDescent="0.35">
      <c r="A9" t="s">
        <v>190</v>
      </c>
      <c r="B9">
        <v>5</v>
      </c>
      <c r="C9">
        <v>5</v>
      </c>
      <c r="D9">
        <v>5</v>
      </c>
      <c r="E9">
        <v>5</v>
      </c>
      <c r="F9">
        <v>5</v>
      </c>
    </row>
    <row r="10" spans="1:6" x14ac:dyDescent="0.35">
      <c r="A10" t="s">
        <v>191</v>
      </c>
      <c r="B10">
        <v>5</v>
      </c>
      <c r="C10">
        <v>5</v>
      </c>
      <c r="D10">
        <v>5</v>
      </c>
      <c r="E10">
        <v>5</v>
      </c>
      <c r="F10">
        <v>5</v>
      </c>
    </row>
    <row r="11" spans="1:6" x14ac:dyDescent="0.35">
      <c r="A11" t="s">
        <v>192</v>
      </c>
      <c r="B11">
        <v>3</v>
      </c>
      <c r="C11">
        <v>4</v>
      </c>
      <c r="D11">
        <v>4</v>
      </c>
      <c r="E11">
        <v>5</v>
      </c>
      <c r="F11">
        <v>4</v>
      </c>
    </row>
    <row r="12" spans="1:6" x14ac:dyDescent="0.35">
      <c r="A12" t="s">
        <v>164</v>
      </c>
      <c r="B12" s="8">
        <f>AVERAGE(B2:B11)</f>
        <v>4.2</v>
      </c>
      <c r="C12" s="8">
        <f t="shared" ref="C12:F12" si="0">AVERAGE(C2:C11)</f>
        <v>4.4000000000000004</v>
      </c>
      <c r="D12" s="8">
        <f t="shared" si="0"/>
        <v>4.5</v>
      </c>
      <c r="E12" s="8">
        <f t="shared" si="0"/>
        <v>4.7</v>
      </c>
      <c r="F12" s="8">
        <f t="shared" si="0"/>
        <v>4.4000000000000004</v>
      </c>
    </row>
    <row r="13" spans="1:6" x14ac:dyDescent="0.35">
      <c r="B13" s="8"/>
      <c r="C13" s="8"/>
      <c r="D13" s="8"/>
      <c r="E13" s="8"/>
      <c r="F13" s="8"/>
    </row>
    <row r="14" spans="1:6" x14ac:dyDescent="0.35">
      <c r="B14" s="8"/>
      <c r="C14" s="8"/>
      <c r="D14" s="8"/>
      <c r="E14" s="8" t="s">
        <v>196</v>
      </c>
      <c r="F14" s="8">
        <f>AVERAGE(B12:F12)</f>
        <v>4.4400000000000004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E3C2-4940-4035-A4DE-D93B855BEDBA}">
  <dimension ref="A1:AF35"/>
  <sheetViews>
    <sheetView zoomScale="43" zoomScaleNormal="55" workbookViewId="0">
      <selection sqref="A1:Z32"/>
    </sheetView>
  </sheetViews>
  <sheetFormatPr defaultRowHeight="14.5" x14ac:dyDescent="0.35"/>
  <cols>
    <col min="1" max="1" width="17.36328125" customWidth="1"/>
    <col min="27" max="27" width="15.81640625" customWidth="1"/>
    <col min="28" max="28" width="14.81640625" customWidth="1"/>
    <col min="29" max="29" width="13.453125" customWidth="1"/>
    <col min="30" max="30" width="14.54296875" customWidth="1"/>
    <col min="31" max="31" width="17.36328125" customWidth="1"/>
    <col min="32" max="32" width="17.08984375" customWidth="1"/>
  </cols>
  <sheetData>
    <row r="1" spans="1:32" x14ac:dyDescent="0.35">
      <c r="B1" s="13" t="s">
        <v>198</v>
      </c>
      <c r="C1" s="14"/>
      <c r="D1" s="14"/>
      <c r="E1" s="14"/>
      <c r="F1" s="14"/>
      <c r="G1" s="13" t="s">
        <v>199</v>
      </c>
      <c r="H1" s="14"/>
      <c r="I1" s="14"/>
      <c r="J1" s="14"/>
      <c r="K1" s="14"/>
      <c r="L1" s="13" t="s">
        <v>200</v>
      </c>
      <c r="M1" s="14"/>
      <c r="N1" s="14"/>
      <c r="O1" s="14"/>
      <c r="P1" s="14"/>
      <c r="Q1" s="13" t="s">
        <v>201</v>
      </c>
      <c r="R1" s="14"/>
      <c r="S1" s="14"/>
      <c r="T1" s="14"/>
      <c r="U1" s="14"/>
      <c r="V1" s="13" t="s">
        <v>202</v>
      </c>
      <c r="W1" s="14"/>
      <c r="X1" s="14"/>
      <c r="Y1" s="14"/>
      <c r="Z1" s="14"/>
      <c r="AA1" s="13" t="s">
        <v>214</v>
      </c>
      <c r="AB1" s="14"/>
      <c r="AC1" s="14"/>
      <c r="AD1" s="14"/>
      <c r="AE1" s="14"/>
    </row>
    <row r="2" spans="1:32" ht="28.5" customHeight="1" x14ac:dyDescent="0.35">
      <c r="A2" t="s">
        <v>197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 s="3" t="s">
        <v>208</v>
      </c>
      <c r="AB2" s="3" t="s">
        <v>209</v>
      </c>
      <c r="AC2" s="3" t="s">
        <v>210</v>
      </c>
      <c r="AD2" s="3" t="s">
        <v>216</v>
      </c>
      <c r="AE2" s="3" t="s">
        <v>215</v>
      </c>
      <c r="AF2" s="3" t="s">
        <v>217</v>
      </c>
    </row>
    <row r="3" spans="1:32" x14ac:dyDescent="0.35">
      <c r="A3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3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 s="8">
        <f>AVERAGE(B3:F3)</f>
        <v>4</v>
      </c>
      <c r="AB3" s="8">
        <f>AVERAGE(G3:K3)</f>
        <v>3.8</v>
      </c>
      <c r="AC3" s="8">
        <f>AVERAGE(L3:P3)</f>
        <v>4</v>
      </c>
      <c r="AD3" s="8">
        <f>AVERAGE(Q3:U3)</f>
        <v>4</v>
      </c>
      <c r="AE3" s="8">
        <f>AVERAGE(V3:Z3)</f>
        <v>4</v>
      </c>
      <c r="AF3" s="8">
        <f>AVERAGE(B3:Z3)</f>
        <v>3.96</v>
      </c>
    </row>
    <row r="4" spans="1:32" x14ac:dyDescent="0.35">
      <c r="A4">
        <v>2</v>
      </c>
      <c r="B4">
        <v>5</v>
      </c>
      <c r="C4">
        <v>4</v>
      </c>
      <c r="D4">
        <v>5</v>
      </c>
      <c r="E4">
        <v>5</v>
      </c>
      <c r="F4">
        <v>5</v>
      </c>
      <c r="G4">
        <v>4</v>
      </c>
      <c r="H4">
        <v>4</v>
      </c>
      <c r="I4">
        <v>4</v>
      </c>
      <c r="J4">
        <v>5</v>
      </c>
      <c r="K4">
        <v>5</v>
      </c>
      <c r="L4">
        <v>4</v>
      </c>
      <c r="M4">
        <v>4</v>
      </c>
      <c r="N4">
        <v>5</v>
      </c>
      <c r="O4">
        <v>4</v>
      </c>
      <c r="P4">
        <v>5</v>
      </c>
      <c r="Q4">
        <v>4</v>
      </c>
      <c r="R4">
        <v>5</v>
      </c>
      <c r="S4">
        <v>5</v>
      </c>
      <c r="T4">
        <v>4</v>
      </c>
      <c r="U4">
        <v>5</v>
      </c>
      <c r="V4">
        <v>4</v>
      </c>
      <c r="W4">
        <v>4</v>
      </c>
      <c r="X4">
        <v>4</v>
      </c>
      <c r="Y4">
        <v>5</v>
      </c>
      <c r="Z4">
        <v>5</v>
      </c>
      <c r="AA4" s="8">
        <f>AVERAGE(B4:F4)</f>
        <v>4.8</v>
      </c>
      <c r="AB4" s="8">
        <f>AVERAGE(G4:K4)</f>
        <v>4.4000000000000004</v>
      </c>
      <c r="AC4" s="8">
        <f t="shared" ref="AC4:AC32" si="0">AVERAGE(L4:P4)</f>
        <v>4.4000000000000004</v>
      </c>
      <c r="AD4" s="8">
        <f>AVERAGE(Q4:U4)</f>
        <v>4.5999999999999996</v>
      </c>
      <c r="AE4" s="8">
        <f t="shared" ref="AE4:AE32" si="1">AVERAGE(V4:Z4)</f>
        <v>4.4000000000000004</v>
      </c>
      <c r="AF4" s="8">
        <f t="shared" ref="AF4:AF32" si="2">AVERAGE(B4:Z4)</f>
        <v>4.5199999999999996</v>
      </c>
    </row>
    <row r="5" spans="1:32" x14ac:dyDescent="0.35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 s="8">
        <f t="shared" ref="AA5:AA32" si="3">AVERAGE(B5:F5)</f>
        <v>4</v>
      </c>
      <c r="AB5" s="8">
        <f t="shared" ref="AB5:AB32" si="4">AVERAGE(G5:K5)</f>
        <v>4</v>
      </c>
      <c r="AC5" s="8">
        <f t="shared" si="0"/>
        <v>4</v>
      </c>
      <c r="AD5" s="8">
        <f t="shared" ref="AD5:AD32" si="5">AVERAGE(Q5:U5)</f>
        <v>4</v>
      </c>
      <c r="AE5" s="8">
        <f t="shared" si="1"/>
        <v>4</v>
      </c>
      <c r="AF5" s="8">
        <f t="shared" si="2"/>
        <v>4</v>
      </c>
    </row>
    <row r="6" spans="1:32" x14ac:dyDescent="0.35">
      <c r="A6">
        <v>4</v>
      </c>
      <c r="B6">
        <v>2</v>
      </c>
      <c r="C6">
        <v>2</v>
      </c>
      <c r="D6">
        <v>2</v>
      </c>
      <c r="E6">
        <v>1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2</v>
      </c>
      <c r="V6">
        <v>3</v>
      </c>
      <c r="W6">
        <v>3</v>
      </c>
      <c r="X6">
        <v>3</v>
      </c>
      <c r="Y6">
        <v>3</v>
      </c>
      <c r="Z6">
        <v>3</v>
      </c>
      <c r="AA6" s="8">
        <f t="shared" si="3"/>
        <v>1.8</v>
      </c>
      <c r="AB6" s="8">
        <f t="shared" si="4"/>
        <v>2</v>
      </c>
      <c r="AC6" s="8">
        <f t="shared" si="0"/>
        <v>2.8</v>
      </c>
      <c r="AD6" s="8">
        <f t="shared" si="5"/>
        <v>2.8</v>
      </c>
      <c r="AE6" s="8">
        <f t="shared" si="1"/>
        <v>3</v>
      </c>
      <c r="AF6" s="8">
        <f t="shared" si="2"/>
        <v>2.48</v>
      </c>
    </row>
    <row r="7" spans="1:32" x14ac:dyDescent="0.35">
      <c r="A7">
        <v>5</v>
      </c>
      <c r="B7">
        <v>4</v>
      </c>
      <c r="C7">
        <v>4</v>
      </c>
      <c r="D7">
        <v>4</v>
      </c>
      <c r="E7">
        <v>4</v>
      </c>
      <c r="F7">
        <v>3</v>
      </c>
      <c r="G7">
        <v>3</v>
      </c>
      <c r="H7">
        <v>3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3</v>
      </c>
      <c r="W7">
        <v>4</v>
      </c>
      <c r="X7">
        <v>3</v>
      </c>
      <c r="Y7">
        <v>3</v>
      </c>
      <c r="Z7">
        <v>4</v>
      </c>
      <c r="AA7" s="8">
        <f t="shared" si="3"/>
        <v>3.8</v>
      </c>
      <c r="AB7" s="8">
        <f t="shared" si="4"/>
        <v>3.6</v>
      </c>
      <c r="AC7" s="8">
        <f t="shared" si="0"/>
        <v>4</v>
      </c>
      <c r="AD7" s="8">
        <f t="shared" si="5"/>
        <v>4</v>
      </c>
      <c r="AE7" s="8">
        <f t="shared" si="1"/>
        <v>3.4</v>
      </c>
      <c r="AF7" s="8">
        <f t="shared" si="2"/>
        <v>3.76</v>
      </c>
    </row>
    <row r="8" spans="1:32" x14ac:dyDescent="0.35">
      <c r="A8">
        <v>6</v>
      </c>
      <c r="B8">
        <v>5</v>
      </c>
      <c r="C8">
        <v>5</v>
      </c>
      <c r="D8">
        <v>5</v>
      </c>
      <c r="E8">
        <v>5</v>
      </c>
      <c r="F8">
        <v>5</v>
      </c>
      <c r="G8">
        <v>4</v>
      </c>
      <c r="H8">
        <v>4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4</v>
      </c>
      <c r="W8">
        <v>5</v>
      </c>
      <c r="X8">
        <v>4</v>
      </c>
      <c r="Y8">
        <v>4</v>
      </c>
      <c r="Z8">
        <v>5</v>
      </c>
      <c r="AA8" s="8">
        <f t="shared" si="3"/>
        <v>5</v>
      </c>
      <c r="AB8" s="8">
        <f t="shared" si="4"/>
        <v>4.5999999999999996</v>
      </c>
      <c r="AC8" s="8">
        <f t="shared" si="0"/>
        <v>5</v>
      </c>
      <c r="AD8" s="8">
        <f t="shared" si="5"/>
        <v>5</v>
      </c>
      <c r="AE8" s="8">
        <f t="shared" si="1"/>
        <v>4.4000000000000004</v>
      </c>
      <c r="AF8" s="8">
        <f t="shared" si="2"/>
        <v>4.8</v>
      </c>
    </row>
    <row r="9" spans="1:32" x14ac:dyDescent="0.35">
      <c r="A9">
        <v>7</v>
      </c>
      <c r="B9">
        <v>4</v>
      </c>
      <c r="C9">
        <v>5</v>
      </c>
      <c r="D9">
        <v>4</v>
      </c>
      <c r="E9">
        <v>5</v>
      </c>
      <c r="F9">
        <v>5</v>
      </c>
      <c r="G9">
        <v>4</v>
      </c>
      <c r="H9">
        <v>4</v>
      </c>
      <c r="I9">
        <v>4</v>
      </c>
      <c r="J9">
        <v>4</v>
      </c>
      <c r="K9">
        <v>5</v>
      </c>
      <c r="L9">
        <v>5</v>
      </c>
      <c r="M9">
        <v>4</v>
      </c>
      <c r="N9">
        <v>5</v>
      </c>
      <c r="O9">
        <v>4</v>
      </c>
      <c r="P9">
        <v>4</v>
      </c>
      <c r="Q9">
        <v>4</v>
      </c>
      <c r="R9">
        <v>4</v>
      </c>
      <c r="S9">
        <v>5</v>
      </c>
      <c r="T9">
        <v>4</v>
      </c>
      <c r="U9">
        <v>4</v>
      </c>
      <c r="V9">
        <v>5</v>
      </c>
      <c r="W9">
        <v>5</v>
      </c>
      <c r="X9">
        <v>4</v>
      </c>
      <c r="Y9">
        <v>5</v>
      </c>
      <c r="Z9">
        <v>5</v>
      </c>
      <c r="AA9" s="8">
        <f t="shared" si="3"/>
        <v>4.5999999999999996</v>
      </c>
      <c r="AB9" s="8">
        <f t="shared" si="4"/>
        <v>4.2</v>
      </c>
      <c r="AC9" s="8">
        <f t="shared" si="0"/>
        <v>4.4000000000000004</v>
      </c>
      <c r="AD9" s="8">
        <f t="shared" si="5"/>
        <v>4.2</v>
      </c>
      <c r="AE9" s="8">
        <f t="shared" si="1"/>
        <v>4.8</v>
      </c>
      <c r="AF9" s="8">
        <f t="shared" si="2"/>
        <v>4.4400000000000004</v>
      </c>
    </row>
    <row r="10" spans="1:32" x14ac:dyDescent="0.35">
      <c r="A10">
        <v>8</v>
      </c>
      <c r="B10">
        <v>4</v>
      </c>
      <c r="C10">
        <v>4</v>
      </c>
      <c r="D10">
        <v>4</v>
      </c>
      <c r="E10">
        <v>4</v>
      </c>
      <c r="F10">
        <v>4</v>
      </c>
      <c r="G10">
        <v>3</v>
      </c>
      <c r="H10">
        <v>3</v>
      </c>
      <c r="I10">
        <v>4</v>
      </c>
      <c r="J10">
        <v>4</v>
      </c>
      <c r="K10">
        <v>4</v>
      </c>
      <c r="L10">
        <v>3</v>
      </c>
      <c r="M10">
        <v>4</v>
      </c>
      <c r="N10">
        <v>5</v>
      </c>
      <c r="O10">
        <v>5</v>
      </c>
      <c r="P10">
        <v>4</v>
      </c>
      <c r="Q10">
        <v>5</v>
      </c>
      <c r="R10">
        <v>4</v>
      </c>
      <c r="S10">
        <v>4</v>
      </c>
      <c r="T10">
        <v>4</v>
      </c>
      <c r="U10">
        <v>5</v>
      </c>
      <c r="V10">
        <v>5</v>
      </c>
      <c r="W10">
        <v>5</v>
      </c>
      <c r="X10">
        <v>4</v>
      </c>
      <c r="Y10">
        <v>3</v>
      </c>
      <c r="Z10">
        <v>4</v>
      </c>
      <c r="AA10" s="8">
        <f t="shared" si="3"/>
        <v>4</v>
      </c>
      <c r="AB10" s="8">
        <f t="shared" si="4"/>
        <v>3.6</v>
      </c>
      <c r="AC10" s="8">
        <f t="shared" si="0"/>
        <v>4.2</v>
      </c>
      <c r="AD10" s="8">
        <f t="shared" si="5"/>
        <v>4.4000000000000004</v>
      </c>
      <c r="AE10" s="8">
        <f t="shared" si="1"/>
        <v>4.2</v>
      </c>
      <c r="AF10" s="8">
        <f t="shared" si="2"/>
        <v>4.08</v>
      </c>
    </row>
    <row r="11" spans="1:32" x14ac:dyDescent="0.35">
      <c r="A11">
        <v>9</v>
      </c>
      <c r="B11">
        <v>5</v>
      </c>
      <c r="C11">
        <v>5</v>
      </c>
      <c r="D11">
        <v>5</v>
      </c>
      <c r="E11">
        <v>4</v>
      </c>
      <c r="F11">
        <v>5</v>
      </c>
      <c r="G11">
        <v>5</v>
      </c>
      <c r="H11">
        <v>5</v>
      </c>
      <c r="I11">
        <v>5</v>
      </c>
      <c r="J11">
        <v>5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5</v>
      </c>
      <c r="T11">
        <v>4</v>
      </c>
      <c r="U11">
        <v>4</v>
      </c>
      <c r="V11">
        <v>4</v>
      </c>
      <c r="W11">
        <v>5</v>
      </c>
      <c r="X11">
        <v>4</v>
      </c>
      <c r="Y11">
        <v>4</v>
      </c>
      <c r="Z11">
        <v>4</v>
      </c>
      <c r="AA11" s="8">
        <f t="shared" si="3"/>
        <v>4.8</v>
      </c>
      <c r="AB11" s="8">
        <f t="shared" si="4"/>
        <v>4.8</v>
      </c>
      <c r="AC11" s="8">
        <f t="shared" si="0"/>
        <v>4</v>
      </c>
      <c r="AD11" s="8">
        <f t="shared" si="5"/>
        <v>4.2</v>
      </c>
      <c r="AE11" s="8">
        <f t="shared" si="1"/>
        <v>4.2</v>
      </c>
      <c r="AF11" s="8">
        <f t="shared" si="2"/>
        <v>4.4000000000000004</v>
      </c>
    </row>
    <row r="12" spans="1:32" x14ac:dyDescent="0.35">
      <c r="A12">
        <v>10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 s="8">
        <f t="shared" si="3"/>
        <v>4</v>
      </c>
      <c r="AB12" s="8">
        <f t="shared" si="4"/>
        <v>4</v>
      </c>
      <c r="AC12" s="8">
        <f t="shared" si="0"/>
        <v>4</v>
      </c>
      <c r="AD12" s="8">
        <f t="shared" si="5"/>
        <v>4</v>
      </c>
      <c r="AE12" s="8">
        <f t="shared" si="1"/>
        <v>4</v>
      </c>
      <c r="AF12" s="8">
        <f t="shared" si="2"/>
        <v>4</v>
      </c>
    </row>
    <row r="13" spans="1:32" x14ac:dyDescent="0.35">
      <c r="A13">
        <v>11</v>
      </c>
      <c r="B13">
        <v>4</v>
      </c>
      <c r="C13">
        <v>4</v>
      </c>
      <c r="D13">
        <v>5</v>
      </c>
      <c r="E13">
        <v>5</v>
      </c>
      <c r="F13">
        <v>5</v>
      </c>
      <c r="G13">
        <v>5</v>
      </c>
      <c r="H13">
        <v>5</v>
      </c>
      <c r="I13">
        <v>4</v>
      </c>
      <c r="J13">
        <v>5</v>
      </c>
      <c r="K13">
        <v>4</v>
      </c>
      <c r="L13">
        <v>5</v>
      </c>
      <c r="M13">
        <v>5</v>
      </c>
      <c r="N13">
        <v>5</v>
      </c>
      <c r="O13">
        <v>4</v>
      </c>
      <c r="P13">
        <v>5</v>
      </c>
      <c r="Q13">
        <v>5</v>
      </c>
      <c r="R13">
        <v>5</v>
      </c>
      <c r="S13">
        <v>5</v>
      </c>
      <c r="T13">
        <v>5</v>
      </c>
      <c r="U13">
        <v>4</v>
      </c>
      <c r="V13">
        <v>5</v>
      </c>
      <c r="W13">
        <v>5</v>
      </c>
      <c r="X13">
        <v>5</v>
      </c>
      <c r="Y13">
        <v>5</v>
      </c>
      <c r="Z13">
        <v>5</v>
      </c>
      <c r="AA13" s="8">
        <f t="shared" si="3"/>
        <v>4.5999999999999996</v>
      </c>
      <c r="AB13" s="8">
        <f t="shared" si="4"/>
        <v>4.5999999999999996</v>
      </c>
      <c r="AC13" s="8">
        <f t="shared" si="0"/>
        <v>4.8</v>
      </c>
      <c r="AD13" s="8">
        <f t="shared" si="5"/>
        <v>4.8</v>
      </c>
      <c r="AE13" s="8">
        <f t="shared" si="1"/>
        <v>5</v>
      </c>
      <c r="AF13" s="8">
        <f t="shared" si="2"/>
        <v>4.76</v>
      </c>
    </row>
    <row r="14" spans="1:32" x14ac:dyDescent="0.35">
      <c r="A14">
        <v>12</v>
      </c>
      <c r="B14">
        <v>5</v>
      </c>
      <c r="C14">
        <v>5</v>
      </c>
      <c r="D14">
        <v>5</v>
      </c>
      <c r="E14">
        <v>5</v>
      </c>
      <c r="F14">
        <v>4</v>
      </c>
      <c r="G14">
        <v>5</v>
      </c>
      <c r="H14">
        <v>5</v>
      </c>
      <c r="I14">
        <v>5</v>
      </c>
      <c r="J14">
        <v>5</v>
      </c>
      <c r="K14">
        <v>4</v>
      </c>
      <c r="L14">
        <v>5</v>
      </c>
      <c r="M14">
        <v>5</v>
      </c>
      <c r="N14">
        <v>4</v>
      </c>
      <c r="O14">
        <v>4</v>
      </c>
      <c r="P14">
        <v>4</v>
      </c>
      <c r="Q14">
        <v>4</v>
      </c>
      <c r="R14">
        <v>5</v>
      </c>
      <c r="S14">
        <v>4</v>
      </c>
      <c r="T14">
        <v>4</v>
      </c>
      <c r="U14">
        <v>4</v>
      </c>
      <c r="V14">
        <v>5</v>
      </c>
      <c r="W14">
        <v>5</v>
      </c>
      <c r="X14">
        <v>5</v>
      </c>
      <c r="Y14">
        <v>5</v>
      </c>
      <c r="Z14">
        <v>4</v>
      </c>
      <c r="AA14" s="8">
        <f t="shared" si="3"/>
        <v>4.8</v>
      </c>
      <c r="AB14" s="8">
        <f t="shared" si="4"/>
        <v>4.8</v>
      </c>
      <c r="AC14" s="8">
        <f t="shared" si="0"/>
        <v>4.4000000000000004</v>
      </c>
      <c r="AD14" s="8">
        <f t="shared" si="5"/>
        <v>4.2</v>
      </c>
      <c r="AE14" s="8">
        <f t="shared" si="1"/>
        <v>4.8</v>
      </c>
      <c r="AF14" s="8">
        <f t="shared" si="2"/>
        <v>4.5999999999999996</v>
      </c>
    </row>
    <row r="15" spans="1:32" x14ac:dyDescent="0.35">
      <c r="A15">
        <v>13</v>
      </c>
      <c r="B15">
        <v>4</v>
      </c>
      <c r="C15">
        <v>4</v>
      </c>
      <c r="D15">
        <v>4</v>
      </c>
      <c r="E15">
        <v>4</v>
      </c>
      <c r="F15">
        <v>5</v>
      </c>
      <c r="G15">
        <v>4</v>
      </c>
      <c r="H15">
        <v>4</v>
      </c>
      <c r="I15">
        <v>5</v>
      </c>
      <c r="J15">
        <v>4</v>
      </c>
      <c r="K15">
        <v>5</v>
      </c>
      <c r="L15">
        <v>4</v>
      </c>
      <c r="M15">
        <v>5</v>
      </c>
      <c r="N15">
        <v>4</v>
      </c>
      <c r="O15">
        <v>4</v>
      </c>
      <c r="P15">
        <v>5</v>
      </c>
      <c r="Q15">
        <v>4</v>
      </c>
      <c r="R15">
        <v>5</v>
      </c>
      <c r="S15">
        <v>4</v>
      </c>
      <c r="T15">
        <v>5</v>
      </c>
      <c r="U15">
        <v>5</v>
      </c>
      <c r="V15">
        <v>5</v>
      </c>
      <c r="W15">
        <v>5</v>
      </c>
      <c r="X15">
        <v>5</v>
      </c>
      <c r="Y15">
        <v>4</v>
      </c>
      <c r="Z15">
        <v>5</v>
      </c>
      <c r="AA15" s="8">
        <f t="shared" si="3"/>
        <v>4.2</v>
      </c>
      <c r="AB15" s="8">
        <f t="shared" si="4"/>
        <v>4.4000000000000004</v>
      </c>
      <c r="AC15" s="8">
        <f t="shared" si="0"/>
        <v>4.4000000000000004</v>
      </c>
      <c r="AD15" s="8">
        <f t="shared" si="5"/>
        <v>4.5999999999999996</v>
      </c>
      <c r="AE15" s="8">
        <f t="shared" si="1"/>
        <v>4.8</v>
      </c>
      <c r="AF15" s="8">
        <f t="shared" si="2"/>
        <v>4.4800000000000004</v>
      </c>
    </row>
    <row r="16" spans="1:32" x14ac:dyDescent="0.35">
      <c r="A16">
        <v>14</v>
      </c>
      <c r="B16">
        <v>5</v>
      </c>
      <c r="C16">
        <v>4</v>
      </c>
      <c r="D16">
        <v>4</v>
      </c>
      <c r="E16">
        <v>4</v>
      </c>
      <c r="F16">
        <v>5</v>
      </c>
      <c r="G16">
        <v>3</v>
      </c>
      <c r="H16">
        <v>5</v>
      </c>
      <c r="I16">
        <v>5</v>
      </c>
      <c r="J16">
        <v>5</v>
      </c>
      <c r="K16">
        <v>4</v>
      </c>
      <c r="L16">
        <v>5</v>
      </c>
      <c r="M16">
        <v>4</v>
      </c>
      <c r="N16">
        <v>5</v>
      </c>
      <c r="O16">
        <v>5</v>
      </c>
      <c r="P16">
        <v>4</v>
      </c>
      <c r="Q16">
        <v>5</v>
      </c>
      <c r="R16">
        <v>5</v>
      </c>
      <c r="S16">
        <v>4</v>
      </c>
      <c r="T16">
        <v>4</v>
      </c>
      <c r="U16">
        <v>5</v>
      </c>
      <c r="V16">
        <v>4</v>
      </c>
      <c r="W16">
        <v>5</v>
      </c>
      <c r="X16">
        <v>4</v>
      </c>
      <c r="Y16">
        <v>5</v>
      </c>
      <c r="Z16">
        <v>5</v>
      </c>
      <c r="AA16" s="8">
        <f t="shared" si="3"/>
        <v>4.4000000000000004</v>
      </c>
      <c r="AB16" s="8">
        <f t="shared" si="4"/>
        <v>4.4000000000000004</v>
      </c>
      <c r="AC16" s="8">
        <f t="shared" si="0"/>
        <v>4.5999999999999996</v>
      </c>
      <c r="AD16" s="8">
        <f t="shared" si="5"/>
        <v>4.5999999999999996</v>
      </c>
      <c r="AE16" s="8">
        <f t="shared" si="1"/>
        <v>4.5999999999999996</v>
      </c>
      <c r="AF16" s="8">
        <f t="shared" si="2"/>
        <v>4.5199999999999996</v>
      </c>
    </row>
    <row r="17" spans="1:32" x14ac:dyDescent="0.35">
      <c r="A17">
        <v>15</v>
      </c>
      <c r="B17">
        <v>4</v>
      </c>
      <c r="C17">
        <v>3</v>
      </c>
      <c r="D17">
        <v>4</v>
      </c>
      <c r="E17">
        <v>2</v>
      </c>
      <c r="F17">
        <v>3</v>
      </c>
      <c r="G17">
        <v>3</v>
      </c>
      <c r="H17">
        <v>2</v>
      </c>
      <c r="I17">
        <v>3</v>
      </c>
      <c r="J17">
        <v>3</v>
      </c>
      <c r="K17">
        <v>4</v>
      </c>
      <c r="L17">
        <v>2</v>
      </c>
      <c r="M17">
        <v>3</v>
      </c>
      <c r="N17">
        <v>3</v>
      </c>
      <c r="O17">
        <v>2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4</v>
      </c>
      <c r="Y17">
        <v>2</v>
      </c>
      <c r="Z17">
        <v>3</v>
      </c>
      <c r="AA17" s="8">
        <f t="shared" si="3"/>
        <v>3.2</v>
      </c>
      <c r="AB17" s="8">
        <f t="shared" si="4"/>
        <v>3</v>
      </c>
      <c r="AC17" s="8">
        <f t="shared" si="0"/>
        <v>2.6</v>
      </c>
      <c r="AD17" s="8">
        <f t="shared" si="5"/>
        <v>3</v>
      </c>
      <c r="AE17" s="8">
        <f t="shared" si="1"/>
        <v>3</v>
      </c>
      <c r="AF17" s="8">
        <f t="shared" si="2"/>
        <v>2.96</v>
      </c>
    </row>
    <row r="18" spans="1:32" x14ac:dyDescent="0.35">
      <c r="A18">
        <v>16</v>
      </c>
      <c r="B18">
        <v>4</v>
      </c>
      <c r="C18">
        <v>4</v>
      </c>
      <c r="D18">
        <v>4</v>
      </c>
      <c r="E18">
        <v>5</v>
      </c>
      <c r="F18">
        <v>4</v>
      </c>
      <c r="G18">
        <v>3</v>
      </c>
      <c r="H18">
        <v>4</v>
      </c>
      <c r="I18">
        <v>4</v>
      </c>
      <c r="J18">
        <v>3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 s="8">
        <f t="shared" si="3"/>
        <v>4.2</v>
      </c>
      <c r="AB18" s="8">
        <f t="shared" si="4"/>
        <v>3.6</v>
      </c>
      <c r="AC18" s="8">
        <f t="shared" si="0"/>
        <v>5</v>
      </c>
      <c r="AD18" s="8">
        <f t="shared" si="5"/>
        <v>5</v>
      </c>
      <c r="AE18" s="8">
        <f t="shared" si="1"/>
        <v>5</v>
      </c>
      <c r="AF18" s="8">
        <f t="shared" si="2"/>
        <v>4.5599999999999996</v>
      </c>
    </row>
    <row r="19" spans="1:32" x14ac:dyDescent="0.35">
      <c r="A19">
        <v>17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4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4</v>
      </c>
      <c r="R19">
        <v>5</v>
      </c>
      <c r="S19">
        <v>4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 s="8">
        <f t="shared" si="3"/>
        <v>5</v>
      </c>
      <c r="AB19" s="8">
        <f t="shared" si="4"/>
        <v>4.8</v>
      </c>
      <c r="AC19" s="8">
        <f t="shared" si="0"/>
        <v>5</v>
      </c>
      <c r="AD19" s="8">
        <f t="shared" si="5"/>
        <v>4.5999999999999996</v>
      </c>
      <c r="AE19" s="8">
        <f t="shared" si="1"/>
        <v>5</v>
      </c>
      <c r="AF19" s="8">
        <f t="shared" si="2"/>
        <v>4.88</v>
      </c>
    </row>
    <row r="20" spans="1:32" x14ac:dyDescent="0.35">
      <c r="A20">
        <v>18</v>
      </c>
      <c r="B20">
        <v>4</v>
      </c>
      <c r="C20">
        <v>4</v>
      </c>
      <c r="D20">
        <v>5</v>
      </c>
      <c r="E20">
        <v>4</v>
      </c>
      <c r="F20">
        <v>3</v>
      </c>
      <c r="G20">
        <v>3</v>
      </c>
      <c r="H20">
        <v>3</v>
      </c>
      <c r="I20">
        <v>4</v>
      </c>
      <c r="J20">
        <v>3</v>
      </c>
      <c r="K20">
        <v>3</v>
      </c>
      <c r="L20">
        <v>5</v>
      </c>
      <c r="M20">
        <v>5</v>
      </c>
      <c r="N20">
        <v>4</v>
      </c>
      <c r="O20">
        <v>4</v>
      </c>
      <c r="P20">
        <v>4</v>
      </c>
      <c r="Q20">
        <v>5</v>
      </c>
      <c r="R20">
        <v>5</v>
      </c>
      <c r="S20">
        <v>5</v>
      </c>
      <c r="T20">
        <v>5</v>
      </c>
      <c r="U20">
        <v>4</v>
      </c>
      <c r="V20">
        <v>5</v>
      </c>
      <c r="W20">
        <v>5</v>
      </c>
      <c r="X20">
        <v>4</v>
      </c>
      <c r="Y20">
        <v>4</v>
      </c>
      <c r="Z20">
        <v>4</v>
      </c>
      <c r="AA20" s="8">
        <f t="shared" si="3"/>
        <v>4</v>
      </c>
      <c r="AB20" s="8">
        <f t="shared" si="4"/>
        <v>3.2</v>
      </c>
      <c r="AC20" s="8">
        <f t="shared" si="0"/>
        <v>4.4000000000000004</v>
      </c>
      <c r="AD20" s="8">
        <f t="shared" si="5"/>
        <v>4.8</v>
      </c>
      <c r="AE20" s="8">
        <f t="shared" si="1"/>
        <v>4.4000000000000004</v>
      </c>
      <c r="AF20" s="8">
        <f t="shared" si="2"/>
        <v>4.16</v>
      </c>
    </row>
    <row r="21" spans="1:32" x14ac:dyDescent="0.35">
      <c r="A21">
        <v>19</v>
      </c>
      <c r="B21">
        <v>4</v>
      </c>
      <c r="C21">
        <v>4</v>
      </c>
      <c r="D21">
        <v>4</v>
      </c>
      <c r="E21">
        <v>4</v>
      </c>
      <c r="F21">
        <v>3</v>
      </c>
      <c r="G21">
        <v>4</v>
      </c>
      <c r="H21">
        <v>3</v>
      </c>
      <c r="I21">
        <v>3</v>
      </c>
      <c r="J21">
        <v>4</v>
      </c>
      <c r="K21">
        <v>3</v>
      </c>
      <c r="L21">
        <v>5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5</v>
      </c>
      <c r="W21">
        <v>5</v>
      </c>
      <c r="X21">
        <v>3</v>
      </c>
      <c r="Y21">
        <v>3</v>
      </c>
      <c r="Z21">
        <v>5</v>
      </c>
      <c r="AA21" s="8">
        <f t="shared" si="3"/>
        <v>3.8</v>
      </c>
      <c r="AB21" s="8">
        <f t="shared" si="4"/>
        <v>3.4</v>
      </c>
      <c r="AC21" s="8">
        <f t="shared" si="0"/>
        <v>4.2</v>
      </c>
      <c r="AD21" s="8">
        <f t="shared" si="5"/>
        <v>4</v>
      </c>
      <c r="AE21" s="8">
        <f t="shared" si="1"/>
        <v>4.2</v>
      </c>
      <c r="AF21" s="8">
        <f t="shared" si="2"/>
        <v>3.92</v>
      </c>
    </row>
    <row r="22" spans="1:32" x14ac:dyDescent="0.35">
      <c r="A22">
        <v>20</v>
      </c>
      <c r="B22">
        <v>4</v>
      </c>
      <c r="C22">
        <v>3</v>
      </c>
      <c r="D22">
        <v>4</v>
      </c>
      <c r="E22">
        <v>3</v>
      </c>
      <c r="F22">
        <v>4</v>
      </c>
      <c r="G22">
        <v>2</v>
      </c>
      <c r="H22">
        <v>2</v>
      </c>
      <c r="I22">
        <v>3</v>
      </c>
      <c r="J22">
        <v>3</v>
      </c>
      <c r="K22">
        <v>2</v>
      </c>
      <c r="L22">
        <v>3</v>
      </c>
      <c r="M22">
        <v>4</v>
      </c>
      <c r="N22">
        <v>4</v>
      </c>
      <c r="O22">
        <v>3</v>
      </c>
      <c r="P22">
        <v>3</v>
      </c>
      <c r="Q22">
        <v>4</v>
      </c>
      <c r="R22">
        <v>4</v>
      </c>
      <c r="S22">
        <v>5</v>
      </c>
      <c r="T22">
        <v>4</v>
      </c>
      <c r="U22">
        <v>5</v>
      </c>
      <c r="V22">
        <v>4</v>
      </c>
      <c r="W22">
        <v>5</v>
      </c>
      <c r="X22">
        <v>4</v>
      </c>
      <c r="Y22">
        <v>4</v>
      </c>
      <c r="Z22">
        <v>4</v>
      </c>
      <c r="AA22" s="8">
        <f t="shared" si="3"/>
        <v>3.6</v>
      </c>
      <c r="AB22" s="8">
        <f t="shared" si="4"/>
        <v>2.4</v>
      </c>
      <c r="AC22" s="8">
        <f t="shared" si="0"/>
        <v>3.4</v>
      </c>
      <c r="AD22" s="8">
        <f t="shared" si="5"/>
        <v>4.4000000000000004</v>
      </c>
      <c r="AE22" s="8">
        <f t="shared" si="1"/>
        <v>4.2</v>
      </c>
      <c r="AF22" s="8">
        <f t="shared" si="2"/>
        <v>3.6</v>
      </c>
    </row>
    <row r="23" spans="1:32" x14ac:dyDescent="0.35">
      <c r="A23">
        <v>21</v>
      </c>
      <c r="B23">
        <v>5</v>
      </c>
      <c r="C23">
        <v>5</v>
      </c>
      <c r="D23">
        <v>5</v>
      </c>
      <c r="E23">
        <v>5</v>
      </c>
      <c r="F23">
        <v>4</v>
      </c>
      <c r="G23">
        <v>5</v>
      </c>
      <c r="H23">
        <v>4</v>
      </c>
      <c r="I23">
        <v>5</v>
      </c>
      <c r="J23">
        <v>5</v>
      </c>
      <c r="K23">
        <v>4</v>
      </c>
      <c r="L23">
        <v>4</v>
      </c>
      <c r="M23">
        <v>5</v>
      </c>
      <c r="N23">
        <v>4</v>
      </c>
      <c r="O23">
        <v>4</v>
      </c>
      <c r="P23">
        <v>5</v>
      </c>
      <c r="Q23">
        <v>5</v>
      </c>
      <c r="R23">
        <v>5</v>
      </c>
      <c r="S23">
        <v>4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 s="8">
        <f t="shared" si="3"/>
        <v>4.8</v>
      </c>
      <c r="AB23" s="8">
        <f t="shared" si="4"/>
        <v>4.5999999999999996</v>
      </c>
      <c r="AC23" s="8">
        <f t="shared" si="0"/>
        <v>4.4000000000000004</v>
      </c>
      <c r="AD23" s="8">
        <f t="shared" si="5"/>
        <v>4.8</v>
      </c>
      <c r="AE23" s="8">
        <f t="shared" si="1"/>
        <v>5</v>
      </c>
      <c r="AF23" s="8">
        <f t="shared" si="2"/>
        <v>4.72</v>
      </c>
    </row>
    <row r="24" spans="1:32" x14ac:dyDescent="0.35">
      <c r="A24">
        <v>22</v>
      </c>
      <c r="B24">
        <v>5</v>
      </c>
      <c r="C24">
        <v>5</v>
      </c>
      <c r="D24">
        <v>5</v>
      </c>
      <c r="E24">
        <v>5</v>
      </c>
      <c r="F24">
        <v>5</v>
      </c>
      <c r="G24">
        <v>3</v>
      </c>
      <c r="H24">
        <v>5</v>
      </c>
      <c r="I24">
        <v>3</v>
      </c>
      <c r="J24">
        <v>4</v>
      </c>
      <c r="K24">
        <v>4</v>
      </c>
      <c r="L24">
        <v>4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 s="8">
        <f t="shared" si="3"/>
        <v>5</v>
      </c>
      <c r="AB24" s="8">
        <f t="shared" si="4"/>
        <v>3.8</v>
      </c>
      <c r="AC24" s="8">
        <f t="shared" si="0"/>
        <v>4.8</v>
      </c>
      <c r="AD24" s="8">
        <f t="shared" si="5"/>
        <v>5</v>
      </c>
      <c r="AE24" s="8">
        <f t="shared" si="1"/>
        <v>5</v>
      </c>
      <c r="AF24" s="8">
        <f t="shared" si="2"/>
        <v>4.72</v>
      </c>
    </row>
    <row r="25" spans="1:32" x14ac:dyDescent="0.35">
      <c r="A25">
        <v>23</v>
      </c>
      <c r="B25">
        <v>5</v>
      </c>
      <c r="C25">
        <v>4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4</v>
      </c>
      <c r="Y25">
        <v>4</v>
      </c>
      <c r="Z25">
        <v>4</v>
      </c>
      <c r="AA25" s="8">
        <f t="shared" si="3"/>
        <v>4.8</v>
      </c>
      <c r="AB25" s="8">
        <f t="shared" si="4"/>
        <v>5</v>
      </c>
      <c r="AC25" s="8">
        <f t="shared" si="0"/>
        <v>5</v>
      </c>
      <c r="AD25" s="8">
        <f t="shared" si="5"/>
        <v>5</v>
      </c>
      <c r="AE25" s="8">
        <f t="shared" si="1"/>
        <v>4.4000000000000004</v>
      </c>
      <c r="AF25" s="8">
        <f t="shared" si="2"/>
        <v>4.84</v>
      </c>
    </row>
    <row r="26" spans="1:32" x14ac:dyDescent="0.35">
      <c r="A26">
        <v>24</v>
      </c>
      <c r="B26">
        <v>5</v>
      </c>
      <c r="C26">
        <v>5</v>
      </c>
      <c r="D26">
        <v>5</v>
      </c>
      <c r="E26">
        <v>5</v>
      </c>
      <c r="F26">
        <v>4</v>
      </c>
      <c r="G26">
        <v>5</v>
      </c>
      <c r="H26">
        <v>5</v>
      </c>
      <c r="I26">
        <v>5</v>
      </c>
      <c r="J26">
        <v>4</v>
      </c>
      <c r="K26">
        <v>4</v>
      </c>
      <c r="L26">
        <v>5</v>
      </c>
      <c r="M26">
        <v>5</v>
      </c>
      <c r="N26">
        <v>5</v>
      </c>
      <c r="O26">
        <v>4</v>
      </c>
      <c r="P26">
        <v>4</v>
      </c>
      <c r="Q26">
        <v>5</v>
      </c>
      <c r="R26">
        <v>5</v>
      </c>
      <c r="S26">
        <v>5</v>
      </c>
      <c r="T26">
        <v>4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 s="8">
        <f t="shared" si="3"/>
        <v>4.8</v>
      </c>
      <c r="AB26" s="8">
        <f t="shared" si="4"/>
        <v>4.5999999999999996</v>
      </c>
      <c r="AC26" s="8">
        <f t="shared" si="0"/>
        <v>4.5999999999999996</v>
      </c>
      <c r="AD26" s="8">
        <f t="shared" si="5"/>
        <v>4.8</v>
      </c>
      <c r="AE26" s="8">
        <f t="shared" si="1"/>
        <v>5</v>
      </c>
      <c r="AF26" s="8">
        <f t="shared" si="2"/>
        <v>4.76</v>
      </c>
    </row>
    <row r="27" spans="1:32" x14ac:dyDescent="0.35">
      <c r="A27">
        <v>25</v>
      </c>
      <c r="B27">
        <v>3</v>
      </c>
      <c r="C27">
        <v>3</v>
      </c>
      <c r="D27">
        <v>4</v>
      </c>
      <c r="E27">
        <v>4</v>
      </c>
      <c r="F27">
        <v>3</v>
      </c>
      <c r="G27">
        <v>5</v>
      </c>
      <c r="H27">
        <v>5</v>
      </c>
      <c r="I27">
        <v>5</v>
      </c>
      <c r="J27">
        <v>4</v>
      </c>
      <c r="K27">
        <v>4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 s="8">
        <f t="shared" si="3"/>
        <v>3.4</v>
      </c>
      <c r="AB27" s="8">
        <f t="shared" si="4"/>
        <v>4.5999999999999996</v>
      </c>
      <c r="AC27" s="8">
        <f t="shared" si="0"/>
        <v>5</v>
      </c>
      <c r="AD27" s="8">
        <f t="shared" si="5"/>
        <v>5</v>
      </c>
      <c r="AE27" s="8">
        <f t="shared" si="1"/>
        <v>5</v>
      </c>
      <c r="AF27" s="8">
        <f t="shared" si="2"/>
        <v>4.5999999999999996</v>
      </c>
    </row>
    <row r="28" spans="1:32" x14ac:dyDescent="0.35">
      <c r="A28">
        <v>26</v>
      </c>
      <c r="B28">
        <v>4</v>
      </c>
      <c r="C28">
        <v>4</v>
      </c>
      <c r="D28">
        <v>4</v>
      </c>
      <c r="E28">
        <v>5</v>
      </c>
      <c r="F28">
        <v>4</v>
      </c>
      <c r="G28">
        <v>3</v>
      </c>
      <c r="H28">
        <v>4</v>
      </c>
      <c r="I28">
        <v>4</v>
      </c>
      <c r="J28">
        <v>4</v>
      </c>
      <c r="K28">
        <v>4</v>
      </c>
      <c r="L28">
        <v>3</v>
      </c>
      <c r="M28">
        <v>4</v>
      </c>
      <c r="N28">
        <v>3</v>
      </c>
      <c r="O28">
        <v>3</v>
      </c>
      <c r="P28">
        <v>3</v>
      </c>
      <c r="Q28">
        <v>4</v>
      </c>
      <c r="R28">
        <v>4</v>
      </c>
      <c r="S28">
        <v>4</v>
      </c>
      <c r="T28">
        <v>4</v>
      </c>
      <c r="U28">
        <v>3</v>
      </c>
      <c r="V28">
        <v>4</v>
      </c>
      <c r="W28">
        <v>4</v>
      </c>
      <c r="X28">
        <v>4</v>
      </c>
      <c r="Y28">
        <v>4</v>
      </c>
      <c r="Z28">
        <v>4</v>
      </c>
      <c r="AA28" s="8">
        <f t="shared" si="3"/>
        <v>4.2</v>
      </c>
      <c r="AB28" s="8">
        <f t="shared" si="4"/>
        <v>3.8</v>
      </c>
      <c r="AC28" s="8">
        <f t="shared" si="0"/>
        <v>3.2</v>
      </c>
      <c r="AD28" s="8">
        <f t="shared" si="5"/>
        <v>3.8</v>
      </c>
      <c r="AE28" s="8">
        <f t="shared" si="1"/>
        <v>4</v>
      </c>
      <c r="AF28" s="8">
        <f t="shared" si="2"/>
        <v>3.8</v>
      </c>
    </row>
    <row r="29" spans="1:32" x14ac:dyDescent="0.35">
      <c r="A29">
        <v>27</v>
      </c>
      <c r="B29">
        <v>5</v>
      </c>
      <c r="C29">
        <v>5</v>
      </c>
      <c r="D29">
        <v>5</v>
      </c>
      <c r="E29">
        <v>4</v>
      </c>
      <c r="F29">
        <v>4</v>
      </c>
      <c r="G29">
        <v>5</v>
      </c>
      <c r="H29">
        <v>5</v>
      </c>
      <c r="I29">
        <v>4</v>
      </c>
      <c r="J29">
        <v>5</v>
      </c>
      <c r="K29">
        <v>4</v>
      </c>
      <c r="L29">
        <v>4</v>
      </c>
      <c r="M29">
        <v>5</v>
      </c>
      <c r="N29">
        <v>5</v>
      </c>
      <c r="O29">
        <v>4</v>
      </c>
      <c r="P29">
        <v>5</v>
      </c>
      <c r="Q29">
        <v>4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4</v>
      </c>
      <c r="Z29">
        <v>5</v>
      </c>
      <c r="AA29" s="8">
        <f t="shared" si="3"/>
        <v>4.5999999999999996</v>
      </c>
      <c r="AB29" s="8">
        <f t="shared" si="4"/>
        <v>4.5999999999999996</v>
      </c>
      <c r="AC29" s="8">
        <f t="shared" si="0"/>
        <v>4.5999999999999996</v>
      </c>
      <c r="AD29" s="8">
        <f t="shared" si="5"/>
        <v>4.8</v>
      </c>
      <c r="AE29" s="8">
        <f t="shared" si="1"/>
        <v>4.8</v>
      </c>
      <c r="AF29" s="8">
        <f t="shared" si="2"/>
        <v>4.68</v>
      </c>
    </row>
    <row r="30" spans="1:32" x14ac:dyDescent="0.35">
      <c r="A30">
        <v>28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4</v>
      </c>
      <c r="K30">
        <v>5</v>
      </c>
      <c r="L30">
        <v>5</v>
      </c>
      <c r="M30">
        <v>5</v>
      </c>
      <c r="N30">
        <v>4</v>
      </c>
      <c r="O30">
        <v>5</v>
      </c>
      <c r="P30">
        <v>5</v>
      </c>
      <c r="Q30">
        <v>5</v>
      </c>
      <c r="R30">
        <v>5</v>
      </c>
      <c r="S30">
        <v>4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 s="8">
        <f t="shared" si="3"/>
        <v>5</v>
      </c>
      <c r="AB30" s="8">
        <f t="shared" si="4"/>
        <v>4.8</v>
      </c>
      <c r="AC30" s="8">
        <f t="shared" si="0"/>
        <v>4.8</v>
      </c>
      <c r="AD30" s="8">
        <f t="shared" si="5"/>
        <v>4.8</v>
      </c>
      <c r="AE30" s="8">
        <f t="shared" si="1"/>
        <v>5</v>
      </c>
      <c r="AF30" s="8">
        <f t="shared" si="2"/>
        <v>4.88</v>
      </c>
    </row>
    <row r="31" spans="1:32" x14ac:dyDescent="0.35">
      <c r="A31">
        <v>29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4</v>
      </c>
      <c r="I31">
        <v>5</v>
      </c>
      <c r="J31">
        <v>5</v>
      </c>
      <c r="K31">
        <v>4</v>
      </c>
      <c r="L31">
        <v>4</v>
      </c>
      <c r="M31">
        <v>5</v>
      </c>
      <c r="N31">
        <v>5</v>
      </c>
      <c r="O31">
        <v>4</v>
      </c>
      <c r="P31">
        <v>5</v>
      </c>
      <c r="Q31">
        <v>5</v>
      </c>
      <c r="R31">
        <v>5</v>
      </c>
      <c r="S31">
        <v>4</v>
      </c>
      <c r="T31">
        <v>4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 s="8">
        <f t="shared" si="3"/>
        <v>5</v>
      </c>
      <c r="AB31" s="8">
        <f t="shared" si="4"/>
        <v>4.5999999999999996</v>
      </c>
      <c r="AC31" s="8">
        <f t="shared" si="0"/>
        <v>4.5999999999999996</v>
      </c>
      <c r="AD31" s="8">
        <f t="shared" si="5"/>
        <v>4.5999999999999996</v>
      </c>
      <c r="AE31" s="8">
        <f t="shared" si="1"/>
        <v>5</v>
      </c>
      <c r="AF31" s="8">
        <f t="shared" si="2"/>
        <v>4.76</v>
      </c>
    </row>
    <row r="32" spans="1:32" x14ac:dyDescent="0.35">
      <c r="A32">
        <v>30</v>
      </c>
      <c r="B32">
        <v>5</v>
      </c>
      <c r="C32">
        <v>3</v>
      </c>
      <c r="D32">
        <v>4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4</v>
      </c>
      <c r="W32">
        <v>5</v>
      </c>
      <c r="X32">
        <v>5</v>
      </c>
      <c r="Y32">
        <v>5</v>
      </c>
      <c r="Z32">
        <v>5</v>
      </c>
      <c r="AA32" s="8">
        <f t="shared" si="3"/>
        <v>4.4000000000000004</v>
      </c>
      <c r="AB32" s="8">
        <f t="shared" si="4"/>
        <v>4.8</v>
      </c>
      <c r="AC32" s="8">
        <f t="shared" si="0"/>
        <v>5</v>
      </c>
      <c r="AD32" s="8">
        <f t="shared" si="5"/>
        <v>5</v>
      </c>
      <c r="AE32" s="8">
        <f t="shared" si="1"/>
        <v>4.8</v>
      </c>
      <c r="AF32" s="8">
        <f t="shared" si="2"/>
        <v>4.8</v>
      </c>
    </row>
    <row r="33" spans="1:32" x14ac:dyDescent="0.35">
      <c r="A33" t="s">
        <v>164</v>
      </c>
      <c r="B33" s="8">
        <f>AVERAGE(B3:B32)</f>
        <v>4.3666666666666663</v>
      </c>
      <c r="C33" s="8">
        <f>AVERAGE(C3:C32)</f>
        <v>4.166666666666667</v>
      </c>
      <c r="D33" s="8">
        <f t="shared" ref="D33:Z33" si="6">AVERAGE(D3:D32)</f>
        <v>4.4000000000000004</v>
      </c>
      <c r="E33" s="8">
        <f t="shared" si="6"/>
        <v>4.3</v>
      </c>
      <c r="F33" s="8">
        <f t="shared" si="6"/>
        <v>4.2</v>
      </c>
      <c r="G33" s="8">
        <f t="shared" si="6"/>
        <v>3.9666666666666668</v>
      </c>
      <c r="H33" s="8">
        <f t="shared" si="6"/>
        <v>4.0666666666666664</v>
      </c>
      <c r="I33" s="8">
        <f t="shared" si="6"/>
        <v>4.2</v>
      </c>
      <c r="J33" s="8">
        <f t="shared" si="6"/>
        <v>4.2</v>
      </c>
      <c r="K33" s="8">
        <f t="shared" si="6"/>
        <v>4.0333333333333332</v>
      </c>
      <c r="L33" s="8">
        <f t="shared" si="6"/>
        <v>4.2333333333333334</v>
      </c>
      <c r="M33" s="8">
        <f t="shared" si="6"/>
        <v>4.4666666666666668</v>
      </c>
      <c r="N33" s="8">
        <f t="shared" si="6"/>
        <v>4.4000000000000004</v>
      </c>
      <c r="O33" s="8">
        <f t="shared" si="6"/>
        <v>4.166666666666667</v>
      </c>
      <c r="P33" s="8">
        <f t="shared" si="6"/>
        <v>4.333333333333333</v>
      </c>
      <c r="Q33" s="8">
        <f t="shared" si="6"/>
        <v>4.4000000000000004</v>
      </c>
      <c r="R33" s="8">
        <f t="shared" si="6"/>
        <v>4.5333333333333332</v>
      </c>
      <c r="S33" s="8">
        <f t="shared" si="6"/>
        <v>4.4000000000000004</v>
      </c>
      <c r="T33" s="8">
        <f t="shared" si="6"/>
        <v>4.3666666666666663</v>
      </c>
      <c r="U33" s="8">
        <f t="shared" si="6"/>
        <v>4.4333333333333336</v>
      </c>
      <c r="V33" s="8">
        <f t="shared" si="6"/>
        <v>4.4666666666666668</v>
      </c>
      <c r="W33" s="8">
        <f t="shared" si="6"/>
        <v>4.666666666666667</v>
      </c>
      <c r="X33" s="8">
        <f t="shared" si="6"/>
        <v>4.333333333333333</v>
      </c>
      <c r="Y33" s="8">
        <f t="shared" si="6"/>
        <v>4.2666666666666666</v>
      </c>
      <c r="Z33" s="8">
        <f t="shared" si="6"/>
        <v>4.5</v>
      </c>
      <c r="AA33" s="8">
        <f t="shared" ref="AA33:AF33" si="7">_xlfn.STDEV.S(AA3:AA32)</f>
        <v>0.69417941302754493</v>
      </c>
      <c r="AB33" s="8">
        <f t="shared" si="7"/>
        <v>0.74599312806918439</v>
      </c>
      <c r="AC33" s="8">
        <f t="shared" si="7"/>
        <v>0.63593536865270095</v>
      </c>
      <c r="AD33" s="8">
        <f t="shared" si="7"/>
        <v>0.56013134748627014</v>
      </c>
      <c r="AE33" s="8">
        <f t="shared" si="7"/>
        <v>0.57937739075625538</v>
      </c>
      <c r="AF33" s="8">
        <f t="shared" si="7"/>
        <v>0.5766713839419052</v>
      </c>
    </row>
    <row r="34" spans="1:32" x14ac:dyDescent="0.35">
      <c r="A34" t="s">
        <v>203</v>
      </c>
      <c r="B34" s="8">
        <f>AVERAGE(B33:F33)</f>
        <v>4.2866666666666671</v>
      </c>
      <c r="G34" s="8">
        <f>AVERAGE(G33:K33)</f>
        <v>4.0933333333333337</v>
      </c>
      <c r="L34" s="8">
        <f>AVERAGE(L33:P33)</f>
        <v>4.3199999999999994</v>
      </c>
      <c r="Q34" s="8">
        <f>AVERAGE(Q33:U33)</f>
        <v>4.4266666666666667</v>
      </c>
      <c r="V34" s="8">
        <f>AVERAGE(V33:Z33)</f>
        <v>4.4466666666666663</v>
      </c>
    </row>
    <row r="35" spans="1:32" x14ac:dyDescent="0.35">
      <c r="A35" t="s">
        <v>204</v>
      </c>
      <c r="B35" s="8">
        <f>AVERAGE(B34,G34,L34,Q34,V34)</f>
        <v>4.3146666666666658</v>
      </c>
    </row>
  </sheetData>
  <mergeCells count="6">
    <mergeCell ref="AA1:AE1"/>
    <mergeCell ref="B1:F1"/>
    <mergeCell ref="G1:K1"/>
    <mergeCell ref="L1:P1"/>
    <mergeCell ref="Q1:U1"/>
    <mergeCell ref="V1:Z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BC0C-27CE-4116-A2C0-F82D1616799F}">
  <dimension ref="A1:C7"/>
  <sheetViews>
    <sheetView workbookViewId="0">
      <selection activeCell="C11" sqref="C11"/>
    </sheetView>
  </sheetViews>
  <sheetFormatPr defaultRowHeight="14.5" x14ac:dyDescent="0.35"/>
  <cols>
    <col min="1" max="1" width="20.36328125" customWidth="1"/>
    <col min="2" max="2" width="14.36328125" customWidth="1"/>
    <col min="3" max="3" width="14.26953125" customWidth="1"/>
    <col min="4" max="4" width="13.81640625" customWidth="1"/>
  </cols>
  <sheetData>
    <row r="1" spans="1:3" ht="40.5" customHeight="1" x14ac:dyDescent="0.35">
      <c r="A1" s="9" t="s">
        <v>207</v>
      </c>
      <c r="B1" t="s">
        <v>164</v>
      </c>
      <c r="C1" t="s">
        <v>165</v>
      </c>
    </row>
    <row r="2" spans="1:3" ht="24.5" customHeight="1" x14ac:dyDescent="0.35">
      <c r="A2" t="s">
        <v>208</v>
      </c>
      <c r="B2">
        <v>4.29</v>
      </c>
      <c r="C2">
        <v>0.69</v>
      </c>
    </row>
    <row r="3" spans="1:3" ht="24" customHeight="1" x14ac:dyDescent="0.35">
      <c r="A3" t="s">
        <v>209</v>
      </c>
      <c r="B3">
        <v>4.09</v>
      </c>
      <c r="C3">
        <v>0.75</v>
      </c>
    </row>
    <row r="4" spans="1:3" ht="23" customHeight="1" x14ac:dyDescent="0.35">
      <c r="A4" t="s">
        <v>210</v>
      </c>
      <c r="B4">
        <v>4.32</v>
      </c>
      <c r="C4">
        <v>0.64</v>
      </c>
    </row>
    <row r="5" spans="1:3" ht="25" customHeight="1" x14ac:dyDescent="0.35">
      <c r="A5" t="s">
        <v>211</v>
      </c>
      <c r="B5">
        <v>4.43</v>
      </c>
      <c r="C5">
        <v>0.56000000000000005</v>
      </c>
    </row>
    <row r="6" spans="1:3" ht="22.5" customHeight="1" x14ac:dyDescent="0.35">
      <c r="A6" t="s">
        <v>212</v>
      </c>
      <c r="B6">
        <v>4.4400000000000004</v>
      </c>
      <c r="C6">
        <v>0.57999999999999996</v>
      </c>
    </row>
    <row r="7" spans="1:3" ht="25" customHeight="1" x14ac:dyDescent="0.35">
      <c r="A7" t="s">
        <v>213</v>
      </c>
      <c r="B7">
        <v>4.3099999999999996</v>
      </c>
      <c r="C7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 Data</vt:lpstr>
      <vt:lpstr>Barangay Sumamry</vt:lpstr>
      <vt:lpstr>Normalized Indicators</vt:lpstr>
      <vt:lpstr>Primary IPI</vt:lpstr>
      <vt:lpstr>Frequency Only</vt:lpstr>
      <vt:lpstr>Weight Sensitivity</vt:lpstr>
      <vt:lpstr>Ablation Analysis</vt:lpstr>
      <vt:lpstr>Area-Ratio Sensitivity</vt:lpstr>
      <vt:lpstr>Overall Robustness </vt:lpstr>
      <vt:lpstr>Instrument Validation</vt:lpstr>
      <vt:lpstr>Reliability</vt:lpstr>
      <vt:lpstr>Individual Validation (IPI)</vt:lpstr>
      <vt:lpstr>Acceptability of AEGIS</vt:lpstr>
      <vt:lpstr>Overall Mean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2026-08-28T01:31:10Z</dcterms:created>
  <dcterms:modified xsi:type="dcterms:W3CDTF">2026-08-30T05:17:15Z</dcterms:modified>
</cp:coreProperties>
</file>